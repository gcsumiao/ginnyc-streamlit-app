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innovaelectronics-my.sharepoint.com/personal/solo_cheng_innova_com/Documents/Desktop/Market Analysis report/"/>
    </mc:Choice>
  </mc:AlternateContent>
  <xr:revisionPtr revIDLastSave="15" documentId="8_{6DA94F2A-94A0-468A-B5F0-24A66BA6C0EA}" xr6:coauthVersionLast="47" xr6:coauthVersionMax="47" xr10:uidLastSave="{02A154F7-FF1D-4DFF-BB79-D93F7ECB10B3}"/>
  <bookViews>
    <workbookView xWindow="-96" yWindow="-96" windowWidth="18192" windowHeight="11472" tabRatio="854" activeTab="1" xr2:uid="{88780F21-2775-2C46-B27D-FDE06F102A9A}"/>
  </bookViews>
  <sheets>
    <sheet name="Summary" sheetId="1" r:id="rId1"/>
    <sheet name="Top 50" sheetId="3" r:id="rId2"/>
    <sheet name="Top 50 Summary" sheetId="48" r:id="rId3"/>
    <sheet name="DAXIONGMAO" sheetId="25" r:id="rId4"/>
    <sheet name="DEPSTECH" sheetId="43" r:id="rId5"/>
    <sheet name="DZXtoz" sheetId="42" r:id="rId6"/>
    <sheet name="Hijoy" sheetId="41" r:id="rId7"/>
    <sheet name="KAIWEETS" sheetId="24" r:id="rId8"/>
    <sheet name="KINPTHY" sheetId="44" r:id="rId9"/>
    <sheet name="MugEasy" sheetId="5" r:id="rId10"/>
    <sheet name="Teslong" sheetId="45" r:id="rId11"/>
    <sheet name="UJOYOK" sheetId="47" r:id="rId12"/>
    <sheet name="WINWEND" sheetId="40" r:id="rId13"/>
  </sheets>
  <definedNames>
    <definedName name="_xlnm._FilterDatabase" localSheetId="0" hidden="1">Summary!$A$3:$I$13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8" l="1"/>
  <c r="D4" i="48"/>
  <c r="F3" i="48"/>
  <c r="F29" i="48"/>
  <c r="D29" i="48"/>
  <c r="F31" i="48"/>
  <c r="F32" i="48"/>
  <c r="F33" i="48"/>
  <c r="F34" i="48"/>
  <c r="F30" i="48"/>
  <c r="D31" i="48"/>
  <c r="D32" i="48"/>
  <c r="D33" i="48"/>
  <c r="D34" i="48"/>
  <c r="D30" i="48"/>
  <c r="F5" i="48"/>
  <c r="F6" i="48"/>
  <c r="F7" i="48"/>
  <c r="F8" i="48"/>
  <c r="F4" i="48"/>
  <c r="D5" i="48"/>
  <c r="D6" i="48"/>
  <c r="D7" i="48"/>
  <c r="D8" i="48"/>
  <c r="L106" i="3" l="1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3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4" i="3"/>
  <c r="K9" i="47"/>
  <c r="K65" i="45"/>
  <c r="K66" i="45"/>
  <c r="K67" i="45"/>
  <c r="K68" i="45"/>
  <c r="K69" i="45"/>
  <c r="K70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K88" i="45"/>
  <c r="K89" i="45"/>
  <c r="K46" i="45"/>
  <c r="E47" i="45"/>
  <c r="D47" i="45"/>
  <c r="K28" i="45"/>
  <c r="K29" i="45"/>
  <c r="K30" i="45"/>
  <c r="K31" i="45"/>
  <c r="K32" i="45"/>
  <c r="K33" i="45"/>
  <c r="K34" i="45"/>
  <c r="K35" i="45"/>
  <c r="K36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3" i="5"/>
  <c r="K24" i="5"/>
  <c r="K25" i="5"/>
  <c r="F26" i="5"/>
  <c r="G26" i="5"/>
  <c r="K10" i="5"/>
  <c r="K11" i="5"/>
  <c r="K12" i="5"/>
  <c r="K13" i="5"/>
  <c r="K14" i="5"/>
  <c r="D15" i="5"/>
  <c r="E15" i="5"/>
  <c r="K47" i="43"/>
  <c r="K48" i="43"/>
  <c r="K49" i="43"/>
  <c r="K50" i="43"/>
  <c r="K51" i="43"/>
  <c r="K52" i="43"/>
  <c r="K53" i="43"/>
  <c r="K54" i="43"/>
  <c r="K55" i="43"/>
  <c r="K56" i="43"/>
  <c r="K57" i="43"/>
  <c r="K58" i="43"/>
  <c r="K59" i="43"/>
  <c r="K60" i="43"/>
  <c r="K61" i="43"/>
  <c r="K62" i="43"/>
  <c r="K63" i="43"/>
  <c r="K64" i="43"/>
  <c r="K65" i="43"/>
  <c r="K66" i="43"/>
  <c r="K67" i="43"/>
  <c r="K68" i="43"/>
  <c r="K69" i="43"/>
  <c r="K35" i="43"/>
  <c r="K36" i="43"/>
  <c r="E37" i="43"/>
  <c r="D37" i="43"/>
  <c r="K10" i="43"/>
  <c r="K11" i="43"/>
  <c r="K12" i="43"/>
  <c r="K13" i="43"/>
  <c r="K14" i="43"/>
  <c r="K15" i="43"/>
  <c r="K16" i="43"/>
  <c r="K17" i="43"/>
  <c r="K18" i="43"/>
  <c r="K19" i="43"/>
  <c r="K20" i="43"/>
  <c r="K21" i="43"/>
  <c r="K22" i="43"/>
  <c r="K23" i="43"/>
  <c r="K24" i="43"/>
  <c r="K25" i="43"/>
  <c r="K26" i="43"/>
  <c r="K27" i="43"/>
  <c r="K28" i="43"/>
  <c r="K29" i="43"/>
  <c r="K30" i="43"/>
  <c r="K26" i="25"/>
  <c r="K27" i="25"/>
  <c r="K28" i="25"/>
  <c r="K29" i="25"/>
  <c r="K16" i="25"/>
  <c r="D17" i="25"/>
  <c r="E17" i="25"/>
  <c r="K10" i="25"/>
  <c r="K11" i="25"/>
  <c r="K12" i="25"/>
  <c r="K19" i="42"/>
  <c r="G20" i="42"/>
  <c r="F20" i="42"/>
  <c r="K11" i="42"/>
  <c r="E12" i="42"/>
  <c r="D12" i="42"/>
  <c r="K59" i="45"/>
  <c r="K60" i="45"/>
  <c r="K61" i="45"/>
  <c r="K62" i="45"/>
  <c r="K63" i="45"/>
  <c r="K64" i="45"/>
  <c r="K25" i="45"/>
  <c r="K26" i="45"/>
  <c r="K27" i="45"/>
  <c r="K37" i="45"/>
  <c r="K38" i="45"/>
  <c r="K39" i="45"/>
  <c r="G90" i="45"/>
  <c r="F90" i="45"/>
  <c r="K58" i="45"/>
  <c r="K57" i="45"/>
  <c r="K56" i="45"/>
  <c r="K55" i="45"/>
  <c r="K54" i="45"/>
  <c r="K53" i="45"/>
  <c r="K52" i="45"/>
  <c r="K45" i="45"/>
  <c r="K44" i="45"/>
  <c r="K43" i="45"/>
  <c r="K42" i="45"/>
  <c r="K41" i="45"/>
  <c r="K40" i="45"/>
  <c r="K9" i="45"/>
  <c r="E14" i="44"/>
  <c r="D14" i="44"/>
  <c r="G24" i="44"/>
  <c r="F24" i="44"/>
  <c r="K23" i="44"/>
  <c r="K22" i="44"/>
  <c r="K21" i="44"/>
  <c r="K20" i="44"/>
  <c r="K19" i="44"/>
  <c r="K13" i="44"/>
  <c r="K12" i="44"/>
  <c r="K11" i="44"/>
  <c r="K10" i="44"/>
  <c r="K9" i="44"/>
  <c r="K46" i="43"/>
  <c r="K34" i="43"/>
  <c r="G70" i="43"/>
  <c r="F70" i="43"/>
  <c r="K45" i="43"/>
  <c r="K44" i="43"/>
  <c r="K43" i="43"/>
  <c r="K42" i="43"/>
  <c r="K33" i="43"/>
  <c r="K32" i="43"/>
  <c r="K31" i="43"/>
  <c r="K9" i="43"/>
  <c r="K18" i="42"/>
  <c r="K17" i="42"/>
  <c r="K10" i="42"/>
  <c r="K9" i="42"/>
  <c r="G18" i="40"/>
  <c r="F18" i="40"/>
  <c r="E11" i="40"/>
  <c r="D11" i="40"/>
  <c r="G15" i="1" l="1"/>
  <c r="G18" i="41"/>
  <c r="F18" i="41"/>
  <c r="K17" i="41"/>
  <c r="K16" i="41"/>
  <c r="E11" i="41"/>
  <c r="D11" i="41"/>
  <c r="K10" i="41"/>
  <c r="K9" i="41"/>
  <c r="K10" i="40"/>
  <c r="K13" i="25"/>
  <c r="K14" i="25"/>
  <c r="K15" i="25"/>
  <c r="K25" i="25"/>
  <c r="K17" i="40"/>
  <c r="K16" i="40"/>
  <c r="K22" i="5"/>
  <c r="K21" i="5"/>
  <c r="K20" i="5"/>
  <c r="G30" i="25"/>
  <c r="F30" i="25"/>
  <c r="K24" i="25"/>
  <c r="K23" i="25"/>
  <c r="K22" i="25"/>
  <c r="K9" i="40" l="1"/>
  <c r="K9" i="5" l="1"/>
  <c r="K9" i="24" l="1"/>
  <c r="K9" i="25"/>
  <c r="I30" i="1" l="1"/>
  <c r="H30" i="1"/>
  <c r="G30" i="1"/>
  <c r="F30" i="1"/>
  <c r="E30" i="1"/>
  <c r="D30" i="1"/>
  <c r="C30" i="1"/>
  <c r="B30" i="1"/>
  <c r="I14" i="1"/>
  <c r="H14" i="1"/>
  <c r="G14" i="1"/>
  <c r="F14" i="1"/>
  <c r="E14" i="1"/>
  <c r="D14" i="1"/>
  <c r="C14" i="1"/>
  <c r="B1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<sst xmlns="http://schemas.openxmlformats.org/spreadsheetml/2006/main" count="1386" uniqueCount="448">
  <si>
    <t>Brand</t>
  </si>
  <si>
    <t># of Listings</t>
  </si>
  <si>
    <t>Estimated 12mo Revenue</t>
  </si>
  <si>
    <t>Total Reviews</t>
  </si>
  <si>
    <t>Avg Rating</t>
  </si>
  <si>
    <t>Total</t>
  </si>
  <si>
    <t>ASIN</t>
  </si>
  <si>
    <t>Product Name</t>
  </si>
  <si>
    <t>Price</t>
  </si>
  <si>
    <t># of Reviews</t>
  </si>
  <si>
    <t>Avg. Rating</t>
  </si>
  <si>
    <t>Link</t>
  </si>
  <si>
    <t>Avg Price</t>
  </si>
  <si>
    <t xml:space="preserve">Tool Rating </t>
  </si>
  <si>
    <t>Estimated 12mo Units</t>
  </si>
  <si>
    <t>Rank by Revenue</t>
  </si>
  <si>
    <t>Est. Monthly Units Sold</t>
  </si>
  <si>
    <t>Est. Monthly Retail Rev</t>
  </si>
  <si>
    <t>Rank by Units</t>
  </si>
  <si>
    <t xml:space="preserve">Rank by Revenue </t>
  </si>
  <si>
    <t>Reviews</t>
  </si>
  <si>
    <t>Monthly Summary - Units</t>
  </si>
  <si>
    <t>Price Per Unit</t>
  </si>
  <si>
    <t>Column1</t>
  </si>
  <si>
    <t>Column2</t>
  </si>
  <si>
    <t>Ranking</t>
  </si>
  <si>
    <t>Monthly Rev Market Share %</t>
  </si>
  <si>
    <t>Monthly Unit Market Share %</t>
  </si>
  <si>
    <t>Monthly Rev</t>
  </si>
  <si>
    <t>Monthly Units</t>
  </si>
  <si>
    <t xml:space="preserve">Monthly Summaries- Revenue </t>
  </si>
  <si>
    <t>Rank By Monthly Revenue - ONLY</t>
  </si>
  <si>
    <t>Rank By Monthly Units - ONLY</t>
  </si>
  <si>
    <t>Market Total</t>
  </si>
  <si>
    <t>teslong</t>
  </si>
  <si>
    <t>depstech</t>
  </si>
  <si>
    <t>dxztoz</t>
  </si>
  <si>
    <t>mugeasy</t>
  </si>
  <si>
    <t>daxiongmao</t>
  </si>
  <si>
    <t>hijoy</t>
  </si>
  <si>
    <t>winwend</t>
  </si>
  <si>
    <t>ujoyok</t>
  </si>
  <si>
    <t>kaiweets</t>
  </si>
  <si>
    <t>nidage</t>
  </si>
  <si>
    <t>acoath</t>
  </si>
  <si>
    <t>pancellent</t>
  </si>
  <si>
    <t>anykit</t>
  </si>
  <si>
    <t>B0CJY5C9QX</t>
  </si>
  <si>
    <t>Teslong Two-Way Articulating Borescope with Light, Industrial Endoscope Inspection Camera with Articulated Probe, Flexible Mechanic Fiber Optic Snake Scope Cam for Wall Automotive Engine Inspect-5FT</t>
  </si>
  <si>
    <t>https://amazon.com/dp/B0CJY5C9QX</t>
  </si>
  <si>
    <t>B0B28HRSBP</t>
  </si>
  <si>
    <t>Two-Way Articulating Borescope, DXZtoz Industrial Endoscope with 0.33in Articulated Snake Camera, Video Inspection Scope with Light for Automotive Aircraft Mechanics- 5.5FT</t>
  </si>
  <si>
    <t>https://amazon.com/dp/B0B28HRSBP</t>
  </si>
  <si>
    <t>B0928Q3T42</t>
  </si>
  <si>
    <t>DEPSTECH Dual Lens Industrial Endoscope, 1080P Digital Borescope Inspection Camera, 7.9mm IP67 Waterproof Camera, Sewer Camera with 4.3" LCD Screen,7 LED Lights,16.5FT Semi-Rigid Cable,32GB Card-Black</t>
  </si>
  <si>
    <t>https://amazon.com/dp/B0928Q3T42</t>
  </si>
  <si>
    <t>B0BS1CFFH8</t>
  </si>
  <si>
    <t>Triple Lens Sewer Inspection Camera with 50FT Semi-Rigid Cable, DEPSTECH 5"IPS Screen Endoscope Camera with Lights, 1080P Industrial Borescope, Split Screen, Waterproof Drain Pipe Camera,Carrying Case</t>
  </si>
  <si>
    <t>https://amazon.com/dp/B0BS1CFFH8</t>
  </si>
  <si>
    <t>B0CFF8Z1NF</t>
  </si>
  <si>
    <t>Endoscope Camera with Light, Inspection Borescope Camera with 4.3" IPS Screen, 1920P HD with 8 LED Lights, 16.4FT Semi-Rigid Cord Bore Scope, IP67 Waterproof Endoscope for Sewer, Tools(Orange)</t>
  </si>
  <si>
    <t>https://amazon.com/dp/B0CFF8Z1NF</t>
  </si>
  <si>
    <t>B0DFHL8YN5</t>
  </si>
  <si>
    <t>Two-Way Articulating Borescope with Light, UJOYOK Industrial Endoscope with Snake Scope Camera, Borescope Inspection Camera with Light for Automotive &amp; Aircraft Mechanics, 5.5FT</t>
  </si>
  <si>
    <t>https://amazon.com/dp/B0DFHL8YN5</t>
  </si>
  <si>
    <t>B0D9M3Q7FK</t>
  </si>
  <si>
    <t>Two-Way Articulating Borescope Camera with Light, KAIWEETS 0.33in Industrial Endoscope Camera with Light, 5FT Flexible Snake Inspection Scope for Automotive and Aircraft Mechanics</t>
  </si>
  <si>
    <t>https://amazon.com/dp/B0D9M3Q7FK</t>
  </si>
  <si>
    <t>B0CP538LN1</t>
  </si>
  <si>
    <t>WINWEND Endoscope Camera with Light - IP67 Waterproof Borescope Camera with 8 Adjustable LED Lights | 4.3" LCD Screen Borescope | HD 1080P Inspection Cameras with 16.5ft Semi-Rigid Cord Tools for Men</t>
  </si>
  <si>
    <t>https://amazon.com/dp/B0CP538LN1</t>
  </si>
  <si>
    <t>B0C3R381FC</t>
  </si>
  <si>
    <t>Endoscope Camera with Light, Borescope Camera with 4.3" IPS Screen, 1080P HD with 8 LED Lights, 16.4FT Semi-Rigid Cord Bore Scope, Tools for Men</t>
  </si>
  <si>
    <t>https://amazon.com/dp/B0C3R381FC</t>
  </si>
  <si>
    <t>B07TV2BFVR</t>
  </si>
  <si>
    <t>Teslong Inspection Camera, Dual Lens Borescope Camera with Light, NTS300 5" IPS Industrial Endoscope, 1080P Waterproof Flexible Mechanic Fiber Optic Snake Scope Cam for Wall Automotive Engine (16.5FT)</t>
  </si>
  <si>
    <t>https://amazon.com/dp/B07TV2BFVR</t>
  </si>
  <si>
    <t>B0D59Y7B2D</t>
  </si>
  <si>
    <t>Hijoy Articulating Borescope Camera with Light - 5'' 1080P HD Display Industrial Endoscope Inspection Camera 5.5FT Snake Camera for Automotive HVAC and Industrial Mechanics</t>
  </si>
  <si>
    <t>https://amazon.com/dp/B0D59Y7B2D</t>
  </si>
  <si>
    <t>B0CT2CX59S</t>
  </si>
  <si>
    <t>Dual-Lens Endoscope Camera with Light, DEPSTECH 1080P HD Borescope with 5" IPS Screen, 16.5FT Flexible Sewer Camera, IP67 Waterproof Plumbing Snake Camera, Cool Gadgets for Men, Women</t>
  </si>
  <si>
    <t>https://amazon.com/dp/B0CT2CX59S</t>
  </si>
  <si>
    <t>B0CJY6SWBN</t>
  </si>
  <si>
    <t>Teslong Articulating Borescope with Dual Lens Endoscope Camera, Two-Way Articulated Industrial Inspection Camera with LED Light, Flexible Mechanic Fiber Optic Snake Scope Cam for Wall Automotive-5FT</t>
  </si>
  <si>
    <t>https://amazon.com/dp/B0CJY6SWBN</t>
  </si>
  <si>
    <t>B0BXSMSS7M</t>
  </si>
  <si>
    <t>Endoscope Camera with Light, 1080P HD Borescope Tools with 8 Adjustable LED Lights, 4.3" Endoscope with 16.4ft Semi-Rigid Snake Camera, IP67 Waterproof Inspection Borescope, Gadgets for Men</t>
  </si>
  <si>
    <t>https://amazon.com/dp/B0BXSMSS7M</t>
  </si>
  <si>
    <t>B08NJ8627V</t>
  </si>
  <si>
    <t>DEPSTECH Dual Lens Wireless Endoscope, 1080P Scope Snake Camera with 7 LED Lights,0.31In Lens Video HD Inspection Camera,IP67 Waterproof Borescope,16.5FT Cable for Android &amp; iOS Phone or Tablet-Yellow</t>
  </si>
  <si>
    <t>https://amazon.com/dp/B08NJ8627V</t>
  </si>
  <si>
    <t>B0D3XDGN6M</t>
  </si>
  <si>
    <t>Endoscope Camera with Light, Hijoy Two-Way Articulation Borescope, 0.33in Articulating Inspection Scope with Light, Perfect for Automotive &amp; Aircraft Mechanics, 5.5FT</t>
  </si>
  <si>
    <t>https://amazon.com/dp/B0D3XDGN6M</t>
  </si>
  <si>
    <t>B0DBZ6Q4YH</t>
  </si>
  <si>
    <t>DEPSTECH 210° Two-Way Articulating Borescope, 0.24in Ultra-Slim Endoscope Camera with Lights, 4.5” IPS Screen, 5ft Waterproof Flexible Snake Tube, Industrial Inspection Camera for Automotive Mechanics</t>
  </si>
  <si>
    <t>https://amazon.com/dp/B0DBZ6Q4YH</t>
  </si>
  <si>
    <t>B0DGFBCH38</t>
  </si>
  <si>
    <t>Acoath Endoscope Camera with Light, Dual-Lens 1920P HD Borescope with 8 Adjustable LED Lights, IP67 Waterproof Boroscope Inspection Tools, 16.4ft Semi-Rigid Snake Camera for iOS &amp; Android</t>
  </si>
  <si>
    <t>https://amazon.com/dp/B0DGFBCH38</t>
  </si>
  <si>
    <t>B0CL4KT182</t>
  </si>
  <si>
    <t>50FT Sewer Inspection Camera, Teslong USB C Drain Plumbing Snake Borescope Endoscope Camera with 8 LEDs, 50 ft Flexible Waterproof Fiber Optic Scope Cam Compatible with iPhone 15/16, Android Phone</t>
  </si>
  <si>
    <t>https://amazon.com/dp/B0CL4KT182</t>
  </si>
  <si>
    <t>B0CXHYT8H8</t>
  </si>
  <si>
    <t>Endoscope Camera with Light, Inspection Borescope Camera with 4.3" IPS Screen, 1920P HD with 8 LED Lights, 16.4FT Semi-Rigid Cord Bore Scope, IP67 Waterproof Endoscope for Sewer, Tools(Green)</t>
  </si>
  <si>
    <t>https://amazon.com/dp/B0CXHYT8H8</t>
  </si>
  <si>
    <t>B0C2P7TP2V</t>
  </si>
  <si>
    <t>Lightswim Industrial Endoscope Inspection Camera, 4.3" IPS Borescope Sewer Camera with Handheld IP67 Waterproof Snake Camera with 8 LED Lights 16.5FT Semi-Rigid Cable, 16.4ft</t>
  </si>
  <si>
    <t>lightswim</t>
  </si>
  <si>
    <t>https://amazon.com/dp/B0C2P7TP2V</t>
  </si>
  <si>
    <t>B0CG46T9ZF</t>
  </si>
  <si>
    <t>16.4ft Endoscope Camera with Light for iPhone and Android, 1920P HD IP67 Waterproof Borescope with 8 Adjustable LED Lights, Semi-Rigid Snake Camera, 7.9mm Inspection Camera Black</t>
  </si>
  <si>
    <t>matrixcamp</t>
  </si>
  <si>
    <t>https://amazon.com/dp/B0CG46T9ZF</t>
  </si>
  <si>
    <t>B0DBQBL4H3</t>
  </si>
  <si>
    <t>Two-Way Articulating Endoscope Camera with Light - HILYCEN Articulating Borescope with Light, 0.33in Industrial Snake Camera, Video Inspection Scope for Automotive Aircraft Mechanics, Pipeline - 5.5FT</t>
  </si>
  <si>
    <t>hilycen</t>
  </si>
  <si>
    <t>https://amazon.com/dp/B0DBQBL4H3</t>
  </si>
  <si>
    <t>B07TTQF24F</t>
  </si>
  <si>
    <t>Teslong Rifle Borescope, Bore Camera Gun Cleaning Camera - Fits .20 Caliber &amp; Larger-Hunting Shooting Firearms Visual Barrel Inspection Tool w/3 Right-Angle Mirrors and Carrying Case(45inch-Flexible)</t>
  </si>
  <si>
    <t>https://amazon.com/dp/B07TTQF24F</t>
  </si>
  <si>
    <t>B0C9C4H2ZH</t>
  </si>
  <si>
    <t>Anykit Dual Lens Endoscope Camera, Type-C Borescope with 8 Adjustable LED Lights, IP67 Waterproof 16.5ft Semi-Rigid Snake Cord Inspection Camera Compatible with Type C iPhone 15 &amp; Android Phone</t>
  </si>
  <si>
    <t>https://amazon.com/dp/B0C9C4H2ZH</t>
  </si>
  <si>
    <t>B0D1VGWHJ4</t>
  </si>
  <si>
    <t>NIDAGE Dual Lens Borescope Inspection Camera 1920P HD Endoscope Camera with Light Waterproof Industrial Endoscope 11.5FT Flexible Snake Cam with 4.3'' IPS Screen, Mechanic Scope Cam Gift for Men</t>
  </si>
  <si>
    <t>https://amazon.com/dp/B0D1VGWHJ4</t>
  </si>
  <si>
    <t>B0CKQH4VZY</t>
  </si>
  <si>
    <t>[Dual-Lens] Borescope,Endoscope Camera with Light,1920P Inspection Camera with 8+1 Adjustable LED Lights, 16.5ft Semi-Rigid Cable Snake Endoscope for iPhone, iPad, Samsung</t>
  </si>
  <si>
    <t>fulljion</t>
  </si>
  <si>
    <t>https://amazon.com/dp/B0CKQH4VZY</t>
  </si>
  <si>
    <t>B0CW65T636</t>
  </si>
  <si>
    <t>Endoscope Camera with Light - 4.3" LCD Screen Inspection Cameras,IP67 Waterproof Borescope with 8 Adjustable LED Lights,HD 1080P Endoscope Camera 16.5ft Semi-Rigid Cord,gifts for men tools and gadgets</t>
  </si>
  <si>
    <t>https://amazon.com/dp/B0CW65T636</t>
  </si>
  <si>
    <t>B0BYF9J7V9</t>
  </si>
  <si>
    <t>50FT Endoscope Camera with Lights, DEPSTECH 1080P Dual Lens Borescope Inspection Camera with Split Screen, 5" IPS Screen,IP67 Waterproof Sewer Camera Cable,7.9mm Scope Camera for Drain Pipe Automotive</t>
  </si>
  <si>
    <t>https://amazon.com/dp/B0BYF9J7V9</t>
  </si>
  <si>
    <t>B0CC27QRQ6</t>
  </si>
  <si>
    <t>1920P Snake Inspection Borescope, Pancellent Type C Endoscope, Scope Camera with 8 LED Lights for Android and iOS Smartphone, iPhone, iPad, Samsung (16.5 FT/5M)</t>
  </si>
  <si>
    <t>https://amazon.com/dp/B0CC27QRQ6</t>
  </si>
  <si>
    <t>B0CGJK3BWM</t>
  </si>
  <si>
    <t>Endoscope Camera with Light, 4.3" Inspection Camera, 1920P HD Borescope with 8 LED Lights, IP67 Waterproof Snake Sewer Tools, 16.4ft Semi-Rigid Drain Endoscope Cool Gadget (Green)</t>
  </si>
  <si>
    <t>plostwr</t>
  </si>
  <si>
    <t>https://amazon.com/dp/B0CGJK3BWM</t>
  </si>
  <si>
    <t>B0DD351NSB</t>
  </si>
  <si>
    <t>DEPSTECH 50FT Triple Lens Sewer Borescope with 5" IPS Screen, 1080P Endoscope Camera with Light, Flexible Snake Inspection Camera for Wall, Plumbing, Automotive Engine Inspect</t>
  </si>
  <si>
    <t>https://amazon.com/dp/B0DD351NSB</t>
  </si>
  <si>
    <t>B0DD47VS7S</t>
  </si>
  <si>
    <t>DEPSTECH Dual Lens Borescope, HD Endoscope Camera with Light, 4.3'' IPS Screen Inspection Camera, IP67 Waterproof Drain Pipe Camera, 16.5ft Semi-Rigid Snake Camera Cable for Car Wall Plumbing HVAC</t>
  </si>
  <si>
    <t>https://amazon.com/dp/B0DD47VS7S</t>
  </si>
  <si>
    <t>B0BV98JZ22</t>
  </si>
  <si>
    <t>SKYBASIC Industrial Endoscope Borescope Camera with Light, 4.3'' LCD Screen HD Digital Snake Camera Handheld Waterproof Sewer Inspection Camera with 8 LED Lights, 16.5FT Semi-Rigid Cable</t>
  </si>
  <si>
    <t>skybasic</t>
  </si>
  <si>
    <t>https://amazon.com/dp/B0BV98JZ22</t>
  </si>
  <si>
    <t>B0DLDS8N7D</t>
  </si>
  <si>
    <t>Klein Tools ET19 Wi-Fi Pro Borescope, Inspection Camera, Dual-Lens, 9.8-Foot Armored Gooseneck, Waterproof, 6-LED Lights, for Android and iOS Device</t>
  </si>
  <si>
    <t>klein tools</t>
  </si>
  <si>
    <t>https://amazon.com/dp/B0DLDS8N7D</t>
  </si>
  <si>
    <t>B0DFGTYXD5</t>
  </si>
  <si>
    <t>Endoscope Camera with Light 5M, 5in Dual Lens Borescope with Light, Digital-Borescope Inspection Camera, 7.9mm IP67 Waterproof Endoscope, 5M/16.4FT Semi-Rigid for Car Wall Plumbing-6PCS ACCS</t>
  </si>
  <si>
    <t>hopefox</t>
  </si>
  <si>
    <t>https://amazon.com/dp/B0DFGTYXD5</t>
  </si>
  <si>
    <t>B0CCHSCYCL</t>
  </si>
  <si>
    <t>Endoscope Camera with Light, 1920P Borescope Camera with 8+1 Adjustable LED Lights, Semi-Rigid Cable 16.5FT, IP67 Waterproof for iPhone, iPad, Samsung,Cool Gadgets for Men</t>
  </si>
  <si>
    <t>elecshion</t>
  </si>
  <si>
    <t>https://amazon.com/dp/B0CCHSCYCL</t>
  </si>
  <si>
    <t>B0CB6GRGP8</t>
  </si>
  <si>
    <t>Endoscope Camera with Light and 50ft Semi-Rigid Cable, SKYEAR Handheld Borescope 4.3'' HD 1080P with 8 Adjust LED Lights, Inspection Camera with IP67 Waterproof Scope Camera for Swer, Gadgets for Men</t>
  </si>
  <si>
    <t>skyear</t>
  </si>
  <si>
    <t>https://amazon.com/dp/B0CB6GRGP8</t>
  </si>
  <si>
    <t>B07C9C6P5D</t>
  </si>
  <si>
    <t>NIDAGE Wireless Endoscope for Automotive Inspection Semi-Rigid Flexible Waterproof 5.5MM WiFi Borescope Camera Compatible Android and iOS Smartphones, iPhone, iPad (4.92FT)</t>
  </si>
  <si>
    <t>https://amazon.com/dp/B07C9C6P5D</t>
  </si>
  <si>
    <t>B0BVML78W1</t>
  </si>
  <si>
    <t>DEPSTECH Endoscope, 7'' IPS Screen Borescope Camera with Light, Triple-Lens Inspection Camera with Sound Recording, 1080P HD 7.9 mm Snake Camera, 16.5ft Gooseneck Camera for Automotive Wall Pipe HVAC</t>
  </si>
  <si>
    <t>https://amazon.com/dp/B0BVML78W1</t>
  </si>
  <si>
    <t>B08519F2W9</t>
  </si>
  <si>
    <t>Teslong Inspection Camera, Dual Lens Borescope Camera with Light, NTS300 5" IPS Industrial Endoscope, 1080P Waterproof Flexible Mechanic Fiber Optic Snake Scope Cam for Wall Automotive Engine (3.3FT)</t>
  </si>
  <si>
    <t>https://amazon.com/dp/B08519F2W9</t>
  </si>
  <si>
    <t>B091L6L1GV</t>
  </si>
  <si>
    <t>Dual Lens Industrial Endoscope, 1080P Digital Borescope Inspection Camera, 8.0mm IP67 Waterproof, with 4.3" LCD Screen Display, 8 LED Lights,16.5FT Semi-Rigid Cable Blue</t>
  </si>
  <si>
    <t>t takmly</t>
  </si>
  <si>
    <t>https://amazon.com/dp/B091L6L1GV</t>
  </si>
  <si>
    <t>B0CT5L1H9B</t>
  </si>
  <si>
    <t>7'' IPS Endoscope Camera with Lights, DEPSTECH 1080P Triple-Lens Digital Borescope Tool, Inspection Camera with Split Screen, Sound Recording, 16.5ft IP67 Snake Drain Camera Cable, 180° Rotation View</t>
  </si>
  <si>
    <t>https://amazon.com/dp/B0CT5L1H9B</t>
  </si>
  <si>
    <t>B0CJ8TBWG8</t>
  </si>
  <si>
    <t>3.9mm Articulating Borescope, DXZtoz Professional Super Thin Endoscope Inspection Camera with Turnable Snake Camera, Flexible Gooseneck Fiber Optic Scope with Light, Cool Gadgets for Men- 3.3FT</t>
  </si>
  <si>
    <t>https://amazon.com/dp/B0CJ8TBWG8</t>
  </si>
  <si>
    <t>B0D8SDT9HT</t>
  </si>
  <si>
    <t>Ralcam Two-Way Articulating Borescope, Endoscope Camera with Light 0.24in/6.2mm Articulated Inspection Camera, Semi-Rigid HD Video Snake Camera Scope for Automotive Aircraft Mechanics</t>
  </si>
  <si>
    <t>ralcam</t>
  </si>
  <si>
    <t>https://amazon.com/dp/B0D8SDT9HT</t>
  </si>
  <si>
    <t>B0DHRPXGRL</t>
  </si>
  <si>
    <t>NIDAGE 2-Way Articulating Borescope Camera with Light, Industrial Endoscope with 0.24in Articulated Snake Inspection Camera, Flexible Fiber Optic Scope Cam for Automotive Aircraft Mechanics, 5.2FT</t>
  </si>
  <si>
    <t>https://amazon.com/dp/B0DHRPXGRL</t>
  </si>
  <si>
    <t>B07PBW52SF</t>
  </si>
  <si>
    <t>Oiiwak Endoscope Camera with Light, 5.5 mm Borescope, 4.3" IPS Screen HD Digital Snake Inspection Camera, IP67 Waterproof for Drain, Plumbing, Wall, Automotive- 3.5 m/11.5 ft</t>
  </si>
  <si>
    <t>oiiwak</t>
  </si>
  <si>
    <t>https://amazon.com/dp/B07PBW52SF</t>
  </si>
  <si>
    <t>B0D9VS5FWY</t>
  </si>
  <si>
    <t>Industrial Borescope Inspection Camera, 4.3" IPS Endoscope Sewer with 1920P Handheld IP67 Waterproof Snake with 8 LED Lights 16.5FT Semi-Rigid Cable</t>
  </si>
  <si>
    <t>https://amazon.com/dp/B0D9VS5FWY</t>
  </si>
  <si>
    <t>B0CTTSWBMV</t>
  </si>
  <si>
    <t>Dual Lens Endoscope Camera with Light Borescope Inspection Camera with 8+1 Adjustable LED Lights1980P Endoscopes Camera with 16.5ft Semi Rigid Snake Camera IP68 Waterproof foriPhone iPad Android Phone</t>
  </si>
  <si>
    <t>carpdim</t>
  </si>
  <si>
    <t>https://amazon.com/dp/B0CTTSWBMV</t>
  </si>
  <si>
    <t>B0CR4C4PM3</t>
  </si>
  <si>
    <t>Dual Lens Endoscope Camera with Light TLMUSE Borescope 1920P HD Inspection Camera with Light, IP67 Waterproof Borescope Camera with Light Scope Camera Endoscope Camera for Android, iPhone, iPad</t>
  </si>
  <si>
    <t>tlmuse</t>
  </si>
  <si>
    <t>https://amazon.com/dp/B0CR4C4PM3</t>
  </si>
  <si>
    <t>B0CB6JML8N</t>
  </si>
  <si>
    <t>Endoscope Camera with Light, SKYEAR Handheld Borescope 4.3'' HD 1080P with 8 Adjust LED Lights, Inspection Camera with 16.4ft Semi-Rigid Cable, IP67 Waterproof Scope Camera for Swer, Gadgets for Men</t>
  </si>
  <si>
    <t>https://amazon.com/dp/B0CB6JML8N</t>
  </si>
  <si>
    <t>B0D2X21JQY</t>
  </si>
  <si>
    <t>5.5mm Endoscope for iPhone, Compatible with iPad, 2.0 Megapixels HD USB C Borescope Inspection Snake Camera IP67 Waterproof with 16.4Ft Semi-Rigid Cord, 8 LED Lights</t>
  </si>
  <si>
    <t>https://amazon.com/dp/B0D2X21JQY</t>
  </si>
  <si>
    <t>B0DGFC3D9H</t>
  </si>
  <si>
    <t>Acoath Endoscope Camera with Light, Dual-Lens 1920P HD Borescope with 8 Adjustable LED Lights, IP67 Waterproof Boroscope Inspection Camera Tools, 33ft Semi-Rigid Snake Camera for iOS &amp; Android</t>
  </si>
  <si>
    <t>https://amazon.com/dp/B0DGFC3D9H</t>
  </si>
  <si>
    <t>B0D5QZBDRX</t>
  </si>
  <si>
    <t>Endoscope Camera with Light, 4.3" HD 1920P Borescope Snake Inspection Camera, IP67 Waterproof 8 Adjustable LEDs 16.4ft Semi-Rigid Tool Kit for Automotive Plumbing DIY Cool Gadgets</t>
  </si>
  <si>
    <t>ennovor</t>
  </si>
  <si>
    <t>https://amazon.com/dp/B0D5QZBDRX</t>
  </si>
  <si>
    <t>B0D2KRN3XR</t>
  </si>
  <si>
    <t>Inspection Endoscope Camera with Light, 1080P HD Borescope with Light, 4.3" IPS Screen, IP67 Waterproof Sewer Borescope, 16.5ft Semi-Rigid Cord Drain Pipe Camera Cool Gadgets Tool</t>
  </si>
  <si>
    <t>coovie</t>
  </si>
  <si>
    <t>https://amazon.com/dp/B0D2KRN3XR</t>
  </si>
  <si>
    <t>B0B8HKQFPD</t>
  </si>
  <si>
    <t>Daxiongmao Borescope，Endoscope Camera with Light, 1080P HD Borescope Tools with 8 Adjustable LED Lights, Endoscope with 16.4ft Semi-Rigid Snake Camera, Gadgets for Men（2.4“）</t>
  </si>
  <si>
    <t>https://amazon.com/dp/B0B8HKQFPD</t>
  </si>
  <si>
    <t>B0CKPFQKT4</t>
  </si>
  <si>
    <t>Anykit Type-C Endoscope Camera with Light, 1080P HD Borescope with 8 Adjustable LED Lights, Inspection Camera with Semi-Rigid Cable, IP67 Waterproof Home Use Snake Camera for Phone &amp; Tablet (16.5ft)</t>
  </si>
  <si>
    <t>https://amazon.com/dp/B0CKPFQKT4</t>
  </si>
  <si>
    <t>B0C4FBM6GV</t>
  </si>
  <si>
    <t>Endoscope Camera with Light, 1920P HD Bore Scope Borescope with 8 Lights, Waterproof 16.4FT Semi-Rigid Cord for Pipe Inspection, Industrial Endoscope for Phones(Black)</t>
  </si>
  <si>
    <t>https://amazon.com/dp/B0C4FBM6GV</t>
  </si>
  <si>
    <t>kinpthy</t>
  </si>
  <si>
    <t>B0C4V5LWWL</t>
  </si>
  <si>
    <t>Endoscope Camera with Light, 1920P HD Borescope Tools with 8 Adjustable LED Lights, Endoscope with 16.4ft Semi-Rigid Snake Camera, IP67 Waterproof Inspection Borescope for iOS and Android-16.4ft</t>
  </si>
  <si>
    <t>https://amazon.com/dp/B0C4V5LWWL</t>
  </si>
  <si>
    <t>B0C9JR3N4W</t>
  </si>
  <si>
    <t>Dual-Lens Endoscope Camera with Light, 1920P HD Borescope Tools with 8 Adjustable LED Lights, Endoscope with 16.4ft Semi-Rigid Snake Camera, IP67 Waterproof Inspection Borescope for iOS and Android</t>
  </si>
  <si>
    <t>https://amazon.com/dp/B0C9JR3N4W</t>
  </si>
  <si>
    <t>B0CZHT2VHS</t>
  </si>
  <si>
    <t>Endoscope Camera with Light, 1920P HD Borescope Camera with 8 Adjustable LED Lights, 16.4ft Semi-Rigid Snake Camera with Light, IP67 Waterproof 7.9mm Inspection Camera for iOS and Android</t>
  </si>
  <si>
    <t>https://amazon.com/dp/B0CZHT2VHS</t>
  </si>
  <si>
    <t>DXZtoz Original Endoscope Case, Borescope Carrying Bag for NTS500B 5inch Inspection Camera, Upgraded Large-Capacity Compatible for 50FT or Less Than 50FT Endoscopes, Black</t>
  </si>
  <si>
    <t>B0BFCMW8KS</t>
  </si>
  <si>
    <t>https://amazon.com/dp/B0BFCMW8KS</t>
  </si>
  <si>
    <t>Daxiongmao Borescope, Endoscope Camera with Light, 1920 HD Industrial Endoscope Inspection Camera with Light, 4.3" Video Inspection Endoscope for Automotive Aircraft Mechanics Tools &amp; Gifts for Men</t>
  </si>
  <si>
    <t>B0CW67ZYP1</t>
  </si>
  <si>
    <t>https://amazon.com/dp/B0CW67ZYP1</t>
  </si>
  <si>
    <t>Endoscope Camera with Light, Borescope Camera with 4.3" IPS Screen, 1080P HD with 8 LED Lights, 16.4FT Semi-Rigid Cord Bore Scope, IP67 Waterproof Endoscope for Sewer, Tools for Men (Black)</t>
  </si>
  <si>
    <t>B0BYHMRHG1</t>
  </si>
  <si>
    <t>https://amazon.com/dp/B0BYHMRHG1</t>
  </si>
  <si>
    <t>Daxiongmao Borescope, Endoscope Camera with Light, IP67 Waterproof Endoscope, 1080 HD Inspection Endoscope, Snake Camera with 50FT Semi-Rigid Cord, Gadgets for Men(2.4")</t>
  </si>
  <si>
    <t>B0BX6H8Y27</t>
  </si>
  <si>
    <t>https://amazon.com/dp/B0BX6H8Y27</t>
  </si>
  <si>
    <t>Daxiongmao Borescope, Fits 0.22 "~0.3" Caliber Larger-Shooting Firearms Visual Barrel Inspection Tools, Gadgets for Men</t>
  </si>
  <si>
    <t>B0CW68KT2V</t>
  </si>
  <si>
    <t>https://amazon.com/dp/B0CW68KT2V</t>
  </si>
  <si>
    <t>Endoscope Camera with Light, 5" IPS Screen Borescope,1920P HD Inspection Camera with Lights, IP67 Waterproof Flexible Cable for Automotive/Home/Wall/Pipe/Car (16.5FT)</t>
  </si>
  <si>
    <t>B0C2P62QN5</t>
  </si>
  <si>
    <t>https://amazon.com/dp/B0C2P62QN5</t>
  </si>
  <si>
    <t>50FT Triple Lens Sewer Inspection Camera, DEPSTECH Upgraded 5'' IPS Endoscope Camera with Light, 1080P HD Borescope with Split Screen, Waterproof Drain Pipe Plumbing Camera, Cool Tech Gadgets for Men</t>
  </si>
  <si>
    <t>B0CMTX8ZM6</t>
  </si>
  <si>
    <t>https://amazon.com/dp/B0CMTX8ZM6</t>
  </si>
  <si>
    <t>Triple Lens Industrial Endoscope Camera with Lights, DEPSTECH 1080P Borescope with Split Screen, 5" IPS Screen Sewer Inspection Camera, IP67 Waterproof, Helpful Tool for Wall Duct Drain Pipe-4.92ft</t>
  </si>
  <si>
    <t>B0BYZGT1LV</t>
  </si>
  <si>
    <t>https://amazon.com/dp/B0BYZGT1LV</t>
  </si>
  <si>
    <t>DEPSTECH Dual Lens Industrial Endoscope, 1080P Digital Borescope Inspection Camera, 7.9mm IP67 Waterproof, Sewer Camera with 4.3" LCD Screen, 7 LED Lights, 16.5FT Semi-Rigid Cable, 32GB Card - Orange</t>
  </si>
  <si>
    <t>B09DKKJGS7</t>
  </si>
  <si>
    <t>https://amazon.com/dp/B09DKKJGS7</t>
  </si>
  <si>
    <t>DEPSTECH Endoscope Camera with Light, 5" IPS Screen, Dual Lens Borescope 7.9mm, 1080P Plumbing Snake Inspection Camera with Split Screen, 32GB TF Card, Hardshell Case, Gadgets for Men, Mechanic-16.5FT</t>
  </si>
  <si>
    <t>B0CB1FPQKG</t>
  </si>
  <si>
    <t>https://amazon.com/dp/B0CB1FPQKG</t>
  </si>
  <si>
    <t>DEPSTECH Industrial Borescope Tool &amp; 4.3" IPS Screen, Bluart 3.0 Tech, HD Digital Endoscope Camera Lights, IP67 Inspection Camera, 16.5FT Semi-Rigid Drain Snake Cable, Cool Gadget Gift, Mechanic Tool</t>
  </si>
  <si>
    <t>B0CQG1RGL6</t>
  </si>
  <si>
    <t>https://amazon.com/dp/B0CQG1RGL6</t>
  </si>
  <si>
    <t>Triple Lens Borescope, DEPSTECH 5" IPS Screen Endoscope Camera with Light, Split Screen View, 1080P HD Sewer Inspection Camera with Carrying Case, 16.5FT Plumbing Snake Camera for Home, Automotive</t>
  </si>
  <si>
    <t>B0CF9C3QQF</t>
  </si>
  <si>
    <t>https://amazon.com/dp/B0CF9C3QQF</t>
  </si>
  <si>
    <t>DEPSTECH Borescope, Dual Lens Endoscope Camera with Light, 1080P HD Inspection Camera, 4.3'' IPS Screen, 16.5ft Flexible Sewer Camera, IP67 Waterproof Plumbing Snake Camera, 8mm Mechanic Scope Camera</t>
  </si>
  <si>
    <t>B0CP3ZZSMX</t>
  </si>
  <si>
    <t>https://amazon.com/dp/B0CP3ZZSMX</t>
  </si>
  <si>
    <t>DEPSTECH Triple Lens Borescope, 5" IPS Screen Inspection Camera, 1080P HD Endoscope with Light, Split Screen, 16.5ft Flexible Gooseneck Snake Camera, 7.9mm Scope for Wall Duct</t>
  </si>
  <si>
    <t>B0BVMLS532</t>
  </si>
  <si>
    <t>https://amazon.com/dp/B0BVMLS532</t>
  </si>
  <si>
    <t>DEPSTECH Wireless Endoscope, IP67 Waterproof WiFi Borescope Inspection 2.0 Megapixels HD Snake Camera for Android and iOS Smartphone, iPhone, Samsung, Tablet -Blue(11.5FT)</t>
  </si>
  <si>
    <t>B09GJZG912</t>
  </si>
  <si>
    <t>https://amazon.com/dp/B09GJZG912</t>
  </si>
  <si>
    <t>DEPSTECH Triple Lens Borescope, 5'' IPS Display Endoscope Camera with Light, Audio Record, 1080P HD Inspection Camera for Automotive Plumbing HVAC, IP67 Sewer Camera, 16.5ft Cable, 32G Card &amp; Case</t>
  </si>
  <si>
    <t>B0CT3HBT4Y</t>
  </si>
  <si>
    <t>https://amazon.com/dp/B0CT3HBT4Y</t>
  </si>
  <si>
    <t>DEPSTECH Original Endoscope Case, Wireless Borescope Carrying Bag WiFi &amp; USB Scope Cameras, Upgraded Large-Capacity Hardshell Case, Compatible with 4.3" Inspection Camera DS300, Black</t>
  </si>
  <si>
    <t>B076D86Z7S</t>
  </si>
  <si>
    <t>https://amazon.com/dp/B076D86Z7S</t>
  </si>
  <si>
    <t>DEPSTECH Endoscope Camera with Lights, 7mm Slim Probe Borescope Inspection Camera with Bluart 3.0 Tech, 16.4ft Semi-Rigid Cable, IP67 Waterproof Snake Camera for IOS 12.0+ Device,Gadget for Men-Yellow</t>
  </si>
  <si>
    <t>B0CGZZFDXH</t>
  </si>
  <si>
    <t>https://amazon.com/dp/B0CGZZFDXH</t>
  </si>
  <si>
    <t>Endoscope Camera with Light, DEPSTECH 7mm 1080P HD Borescope Inspection Camera with 4.3 Inch IPS Screen, 11.5FT Semi-Rigid Cable, IP67 Waterproof Snake Camera for Sewer, Gadgets for Men</t>
  </si>
  <si>
    <t>B0CF89CGRG</t>
  </si>
  <si>
    <t>https://amazon.com/dp/B0CF89CGRG</t>
  </si>
  <si>
    <t>DEPSTECH Endoscope Camera with Light, 1080P HD Borescope Inspection Camera with 2X Zoom, IP67 Waterproof Plumbing Snake Camera, 16.5ft Semi-Rigid Cable, 2.4'' IPS Screen Scope Camera Gadgets for Men</t>
  </si>
  <si>
    <t>B0CJM3HDR1</t>
  </si>
  <si>
    <t>https://amazon.com/dp/B0CJM3HDR1</t>
  </si>
  <si>
    <t>Triple Lens Endoscope Camera with Light, DEPSTECH 1080P Handheld Borescope Inspection Camera with Split Screen, Waterproof Snake Camera, 10FT Flexible Automotive Plumbing Tools for iPhone &amp; Android</t>
  </si>
  <si>
    <t>B0DDT2SF4F</t>
  </si>
  <si>
    <t>https://amazon.com/dp/B0DDT2SF4F</t>
  </si>
  <si>
    <t>DEPSTECH 4.5" IPS Screen Borescope with 3500mAh Battery, 1080P HD Dual Lens Endoscope Camera with Lights, Inspection Camera with Split Screen, 7.9mm Probe Sewer Camera, 16.5FT Cable, Gadgets for Men</t>
  </si>
  <si>
    <t>B08VDZBT65</t>
  </si>
  <si>
    <t>https://amazon.com/dp/B08VDZBT65</t>
  </si>
  <si>
    <t>DEPSTECH 50ft Dual Lens Endoscope Camera with Light,1080P HD Borescope with Split Screen, 7.9mm Waterproof Sewer Inspection Camera, Flexible Semi-Rigid Snake Camera for Drain Pipe Wall, Carrying Case</t>
  </si>
  <si>
    <t>B0BP7TMQDD</t>
  </si>
  <si>
    <t>https://amazon.com/dp/B0BP7TMQDD</t>
  </si>
  <si>
    <t>DEPSTECH Wireless Endoscope Hook Magnet Side View Mirror Set, Including 30 45 60 Degree Mirror for Depstech WF010 Borescope- Black</t>
  </si>
  <si>
    <t>B075Q9TBJM</t>
  </si>
  <si>
    <t>https://amazon.com/dp/B075Q9TBJM</t>
  </si>
  <si>
    <t>Endoscope Camera with Light, 1920P HD Borescope Tools with 8 Adjustable LED Lights, Endoscope with 32.8ft Semi-Rigid Snake Camera, IP67 Waterproof Inspection Borescope for iOS and Android-32.8ft</t>
  </si>
  <si>
    <t>B0BF64PP4F</t>
  </si>
  <si>
    <t>https://amazon.com/dp/B0BF64PP4F</t>
  </si>
  <si>
    <t>Endoscope Camera with Light, 1920P HD Borescope Tools with 9 Adjustable LED Lights, Endoscope with 16.4ft Semi-Rigid Snake Camera, 7.9mm IP67 Waterproof Inspection for iOS and Android</t>
  </si>
  <si>
    <t>B0C4V4FJC8</t>
  </si>
  <si>
    <t>https://amazon.com/dp/B0C4V4FJC8</t>
  </si>
  <si>
    <t>Endoscope Camera with Light, Two-Way Articulating Borescope, 1080P HD Handheld Boroscope with 8 Adjustable LED Lights, IP67 Waterproof Automotive Borescope, Semi-Rigid Snake Inspection Camera(3.28FT)</t>
  </si>
  <si>
    <t>B0CBCBSYDG</t>
  </si>
  <si>
    <t>https://amazon.com/dp/B0CBCBSYDG</t>
  </si>
  <si>
    <t>Endoscope Camera with Light, 1920P HD Bore Scope Borescope with 8 Lights, Waterproof 16.4FT Semi-Rigid Cord for Pipe Inspection, Industrial Endoscope for Phones(Blue)</t>
  </si>
  <si>
    <t>B0C5M8SRQ8</t>
  </si>
  <si>
    <t>https://amazon.com/dp/B0C5M8SRQ8</t>
  </si>
  <si>
    <t>MugEasy Endoscope Hook Magnet Side View Mirror Kit Tools for MugEasy Endoscope Camera with Light - Black (6 pcs)</t>
  </si>
  <si>
    <t>B0D9D8TWZB</t>
  </si>
  <si>
    <t>https://amazon.com/dp/B0D9D8TWZB</t>
  </si>
  <si>
    <t>Endoscope Camera with Light, 1920P HD Bore Scope Borescope with 8 Lights, Waterproof 16.4FT Semi-Rigid Cord for Pipe Inspection, Industrial Endoscope for Phones(Yellow)</t>
  </si>
  <si>
    <t>B0C5M7ZH65</t>
  </si>
  <si>
    <t>https://amazon.com/dp/B0C5M7ZH65</t>
  </si>
  <si>
    <t>Teslong Inspection Camera, Dual Lens Borescope Camera with Light, NTS300 5" IPS Industrial Endoscope, 1080P Waterproof Flexible Mechanic Fiber Optic Snake Scope Cam for Wall Automotive Engine (10FT)</t>
  </si>
  <si>
    <t>B08519V6GW</t>
  </si>
  <si>
    <t>https://amazon.com/dp/B08519V6GW</t>
  </si>
  <si>
    <t>5mm Dual Lens Inspection Camera, Teslong Borescope with LED Light, HD Industrial Endoscope, 5" IPS Screen, Waterproof Video Scope Camera, Flexible Cable for Home/Automotive/Pipe/Car/Wall(5FT)</t>
  </si>
  <si>
    <t>B09Y1F2MPB</t>
  </si>
  <si>
    <t>https://amazon.com/dp/B09Y1F2MPB</t>
  </si>
  <si>
    <t>Teslong Endoscope Borescope with Light, Snake Inspection Camera for Automotive Engine, Home Waterproof Fiber Optic Camera for Sewer and Duct Pipe (16.5FT)</t>
  </si>
  <si>
    <t>B0DK965BZP</t>
  </si>
  <si>
    <t>https://amazon.com/dp/B0DK965BZP</t>
  </si>
  <si>
    <t>Dual Lens Endoscope Camera with Light, Teslong 4.5" HD Snake Borescope Inspection Camera, Automotive Scope Camera with Flexible Cable, Home Waterproof Fiber Optic for Sewer Drain Pipe (16.5FT)</t>
  </si>
  <si>
    <t>B086X1XGN1</t>
  </si>
  <si>
    <t>https://amazon.com/dp/B086X1XGN1</t>
  </si>
  <si>
    <t>50ft Sewer Camera, Teslong 1080P Drain Plumbing Snake Inspection Camera with Light, 50 ft Flexible Borescope Endoscope Duct Fiber Optic Scope Cam</t>
  </si>
  <si>
    <t>B08QCMT89N</t>
  </si>
  <si>
    <t>https://amazon.com/dp/B08QCMT89N</t>
  </si>
  <si>
    <t>Dual Lens Endoscope Camera with Light, Teslong Mechanic Borescope Inspection Camera with Monitor, Flexible Snake Probe Camera, Fiber Optic Scope for Automotive HVAC Drain Wall</t>
  </si>
  <si>
    <t>B09N8HSSW1</t>
  </si>
  <si>
    <t>https://amazon.com/dp/B09N8HSSW1</t>
  </si>
  <si>
    <t>Telescopic Camera with Light, Teslong Wide Angle Endoscope Inspection Camera with 5ft Telescoping Pole, 4.5-inch Screen, Flexible Gooseneck Borescope for Home Ceiling Wall Chimney Automotive</t>
  </si>
  <si>
    <t>B0BG27Q1JS</t>
  </si>
  <si>
    <t>https://amazon.com/dp/B0BG27Q1JS</t>
  </si>
  <si>
    <t>Rifle Borescope-Focus &amp; Fold, Teslong NTG200H 0.2inch Barrel Bore Scope Gun Cleaning Camera with Manual Focus, 26inch Foldable Rigid Rod, 5" IPS Screen, LED Light-Fits .22 Caliber &amp; Larger Firearm</t>
  </si>
  <si>
    <t>B0CLG8SKFV</t>
  </si>
  <si>
    <t>https://amazon.com/dp/B0CLG8SKFV</t>
  </si>
  <si>
    <t>Triple Lens Borescope Inspection Camera, Teslong Professional Endoscope with Light, Digital Video Scope Camera, 5" IPS Screen, Waterproof Flexible Cable for Automotive/Home/Wall/Pipe/Car (5FT)</t>
  </si>
  <si>
    <t>B09NBRQ4ST</t>
  </si>
  <si>
    <t>https://amazon.com/dp/B09NBRQ4ST</t>
  </si>
  <si>
    <t>Dual Lens Endoscope Camera with Light, Teslong 4.5" HD Snake Borescope Inspection Camera, 0.2inch Automotive Scope Camera with Flexible Cable, Industrial Fiber Optic for Engine Mechanic(5FT)</t>
  </si>
  <si>
    <t>B09YGNWL44</t>
  </si>
  <si>
    <t>https://amazon.com/dp/B09YGNWL44</t>
  </si>
  <si>
    <t>Teslong Rifle Borescope with 5" Monitor, Bore Inspection Camera Visual Gun Cleaning System-Fits .20 Caliber &amp; Larger- w/45-inch Flexible Probe, 5-inch IPS Screen, Right Angle Mirror &amp; Carrying Case</t>
  </si>
  <si>
    <t>B095HN3VQZ</t>
  </si>
  <si>
    <t>https://amazon.com/dp/B095HN3VQZ</t>
  </si>
  <si>
    <t>Borescope Camera with Light, Teslong USB C Snake Endoscope Inspection Camera with 8 LEDs, Flexible Waterproof Drain Fiber Optic Scope Cam Compatible with iPhone 15, Android Phone (10FT)</t>
  </si>
  <si>
    <t>B0C9L75QQ9</t>
  </si>
  <si>
    <t>https://amazon.com/dp/B0C9L75QQ9</t>
  </si>
  <si>
    <t>Teslong 50FT Sewer Camera, Dual Lens Borescope with Light, 4.3" HD Drain Plumbing Endoscope Inspection Camera, Home Waterproof Flexible in Wall Cam Pipe Tools, Snake Scope for Air Duct HVAC</t>
  </si>
  <si>
    <t>B0DH24P6NY</t>
  </si>
  <si>
    <t>https://amazon.com/dp/B0DH24P6NY</t>
  </si>
  <si>
    <t>Triple Lens Borescope Inspection Camera, Teslong Professional Endoscope with Light, Digital Video Scope Camera, 5" IPS Screen, Waterproof Flexible Cable for Automotive/Home/Wall/Pipe/Car (10FT)</t>
  </si>
  <si>
    <t>B0CNPWHCQG</t>
  </si>
  <si>
    <t>https://amazon.com/dp/B0CNPWHCQG</t>
  </si>
  <si>
    <t>5MP Auto-Focus Endoscope, Teslong 3rd Generation USB Borescope with 5.0 Megapixel Inspection Camera, 16.5ft Waterproof Semi-Rigid Cable &amp; Adjustable Led Lights Probe for Android Phone Windows MacBook</t>
  </si>
  <si>
    <t>B07HVT2XZL</t>
  </si>
  <si>
    <t>https://amazon.com/dp/B07HVT2XZL</t>
  </si>
  <si>
    <t>Dual Lens Endoscope Camera with Light, Teslong 4.3" HD Snake Borescope Inspection Camera, Automotive Scope Camera with Flexible Cable, Home Waterproof Fiber Optic for Sewer Drain Pipe (3.3FT)</t>
  </si>
  <si>
    <t>B0DH1ZGT5X</t>
  </si>
  <si>
    <t>https://amazon.com/dp/B0DH1ZGT5X</t>
  </si>
  <si>
    <t>Borescope Camera with Light, Teslong USB C Snake Endoscope Inspection Camera with 8 LEDs, Flexible Waterproof Drain Camera Fiber Optic Scope Cam Compatible with iPhone 15, Android Phone (16.5FT)</t>
  </si>
  <si>
    <t>B0D5XM8B12</t>
  </si>
  <si>
    <t>https://amazon.com/dp/B0D5XM8B12</t>
  </si>
  <si>
    <t>Teslong NTS300 Dual Lens Endoscope with 360° Rotation Probe, 5-Inch Industrial Borescope Inspection Camera with High Brightness 8 LEDs, 16.5FT Waterproof Flexible Mechanics Snake Scope Fiber Optic Cam</t>
  </si>
  <si>
    <t>B0DH1X8ST7</t>
  </si>
  <si>
    <t>https://amazon.com/dp/B0DH1X8ST7</t>
  </si>
  <si>
    <t>Triple Lens Inspection Camera, Teslong Borescope with LED Light, HD Industrial Endoscope, 5" IPS Screen, Waterproof Video Scope Camera, Flexible Cable for Home/Automotive/Pipe/Car/Wall (16.5FT)</t>
  </si>
  <si>
    <t>B09BZF4KT8</t>
  </si>
  <si>
    <t>https://amazon.com/dp/B09BZF4KT8</t>
  </si>
  <si>
    <t>Dual Lens Endoscope Camera with Light, Teslong 4.3" HD Snake Borescope Inspection Camera, Automotive Scope Camera with Flexible Cable, Home Waterproof Fiber Optic for Sewer Drain Pipe (16.5FT)</t>
  </si>
  <si>
    <t>B0DGGM7X88</t>
  </si>
  <si>
    <t>https://amazon.com/dp/B0DGGM7X88</t>
  </si>
  <si>
    <t>Triple Lens Borescope Inspection Camera, Teslong Professional Endoscope with Light, Digital Video Scope Camera, 5" IPS Screen, Waterproof Flexible Cable for Automotive/Home/Wall/Pipe/Car (16.5FT)</t>
  </si>
  <si>
    <t>B07Q86XGN2</t>
  </si>
  <si>
    <t>https://amazon.com/dp/B07Q86XGN2</t>
  </si>
  <si>
    <t>Teslong Telescopic Camera with Light, USB-C Borescope with 5FT Telescopic Pole, for HVAC Systems, Wall, Chimney, Automotive and Pipe Inspections, Compatible with iPhone 15/16 and Android</t>
  </si>
  <si>
    <t>B0DL621NQ2</t>
  </si>
  <si>
    <t>https://amazon.com/dp/B0DL621NQ2</t>
  </si>
  <si>
    <t>Teslong 2.0MP HD AF Auto Focus Borescope, 16.5ft Flexible Endoscope with Adjustable Lights, USB-C Inspection Camera for Plumbing, Automotive, Wall, for iPhone 15/16 &amp; Android, Long Focus &amp; Autofocus</t>
  </si>
  <si>
    <t>B0DL8LJTWM</t>
  </si>
  <si>
    <t>https://amazon.com/dp/B0DL8LJTWM</t>
  </si>
  <si>
    <t>Teslong Two-Way Articulating Borescope with Light, USB-C Endoscope Camera for Automotive Mechanics, 5FT Flexible Fiber Optic Snake Inspection Camera Scope, Compatible with iPhone 15/16 and Android</t>
  </si>
  <si>
    <t>B0DGG5RBC3</t>
  </si>
  <si>
    <t>https://amazon.com/dp/B0DGG5RBC3</t>
  </si>
  <si>
    <t>5mm Dual Lens Inspection Camera, Teslong Borescope with LED Light, HD Industrial Endoscope, 5" IPS Screen, Waterproof Video Scope Camera, Flexible Cable for Home/Automotive/Pipe/Car/Wall(16.5FT)</t>
  </si>
  <si>
    <t>B08PTVBGBQ</t>
  </si>
  <si>
    <t>https://amazon.com/dp/B08PTVBGBQ</t>
  </si>
  <si>
    <t>USB C Endoscope Camera with Light, Teslong Type-C Snake Borescope Camera with 8 LED Lights, 5FT Flexible Waterproof Inspection Camera, Fiber Optic Scope Compatible with iPhone 15/16, Android Phone</t>
  </si>
  <si>
    <t>B0CCQXK5JV</t>
  </si>
  <si>
    <t>https://amazon.com/dp/B0CCQXK5JV</t>
  </si>
  <si>
    <t>Dual Lens Endoscope Camera with Light, Teslong 4.5" HD Snake Borescope Inspection Camera, Automotive Scope Camera with Flexible Cable, Home Waterproof Fiber Optic for Sewer Drain Pipe (10FT)</t>
  </si>
  <si>
    <t>B0DH1MDYG9</t>
  </si>
  <si>
    <t>https://amazon.com/dp/B0DH1MDYG9</t>
  </si>
  <si>
    <t>Dual Lens Endoscope with Light, Teslong USB-C Borescope Inspection Camera with 8+1 LED Light, Flexible Waterproof Fiber Optic Camera Snake Scope Compatible with iPhone 15, Android Phone(16.5FT)</t>
  </si>
  <si>
    <t>B0CL4MJ6NK</t>
  </si>
  <si>
    <t>https://amazon.com/dp/B0CL4MJ6NK</t>
  </si>
  <si>
    <t>USB C Endoscope Camera with Light, Teslong Type-C Snake Borescope Camera with 8 LED Lights, 33FT Flexible Waterproof Inspection Camera, Fiber Optic Scope Compatible with iPhone 15/16, Android Phone</t>
  </si>
  <si>
    <t>B0D2C41HHX</t>
  </si>
  <si>
    <t>https://amazon.com/dp/B0D2C41HHX</t>
  </si>
  <si>
    <t>10FT Dual Lens Probe, 8mm/0.31inch Diameter Semi-Rigid Cable Compatible with MS450 Inspection Camera</t>
  </si>
  <si>
    <t>B0DBHXHWVG</t>
  </si>
  <si>
    <t>https://amazon.com/dp/B0DBHXHWVG</t>
  </si>
  <si>
    <t>16.5FT Triple Lens Probe, 7.9mm/0.3inch Diameter Semi-Rigid Cable Compatible with MS450 Inspection Camera</t>
  </si>
  <si>
    <t>B09P4WNYBB</t>
  </si>
  <si>
    <t>https://amazon.com/dp/B09P4WNYBB</t>
  </si>
  <si>
    <t>Teslong Mirrors Set of Rifle Borescope, Only Applies to NTG200H Barrel Bore Scope.</t>
  </si>
  <si>
    <t>B0CX4C3QXK</t>
  </si>
  <si>
    <t>https://amazon.com/dp/B0CX4C3QXK</t>
  </si>
  <si>
    <t>UJOYOK</t>
  </si>
  <si>
    <t>Type</t>
  </si>
  <si>
    <t>Handheld</t>
  </si>
  <si>
    <t>Landscape</t>
  </si>
  <si>
    <t>USB</t>
  </si>
  <si>
    <t>Wireless</t>
  </si>
  <si>
    <t>Portrait</t>
  </si>
  <si>
    <t>Quantity/Mo</t>
  </si>
  <si>
    <t>Qty by %</t>
  </si>
  <si>
    <t>Revenue/Mo</t>
  </si>
  <si>
    <t>Revenue by %</t>
  </si>
  <si>
    <t>Top 50 By Revenue Summary</t>
  </si>
  <si>
    <t>Top 50 By Unit Summary</t>
  </si>
  <si>
    <t>Articulation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</si>
</sst>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#,##0.0"/>
    <numFmt numFmtId="166" formatCode="0.0"/>
    <numFmt numFmtId="167" formatCode="\$#,##0.00"/>
    <numFmt numFmtId="168" formatCode="&quot;$&quot;#,##0.00"/>
    <numFmt numFmtId="169" formatCode="_(* #,##0_);_(* \(#,##0\);_(* &quot;-&quot;??_);_(@_)"/>
  </numFmts>
  <fonts count="1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1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36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0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36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AD2E9"/>
        <bgColor indexed="64"/>
      </patternFill>
    </fill>
    <fill>
      <patternFill patternType="solid">
        <fgColor rgb="FFDAD2E9"/>
        <bgColor rgb="FFD9D2E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5A7D7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2" tint="-0.249977111117893"/>
      </left>
      <right style="thin">
        <color theme="0" tint="-0.3499862666707357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0.249977111117893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2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4" fontId="18" fillId="0" borderId="0" applyFont="0" applyFill="0" applyBorder="0" applyAlignment="0" applyProtection="0"/>
  </cellStyleXfs>
  <cellXfs count="111">
    <xf numFmtId="0" fontId="0" fillId="0" borderId="0" xfId="0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5" fontId="4" fillId="3" borderId="0" xfId="0" applyNumberFormat="1" applyFont="1" applyFill="1" applyAlignment="1">
      <alignment horizontal="center"/>
    </xf>
    <xf numFmtId="0" fontId="6" fillId="0" borderId="0" xfId="0" applyFont="1"/>
    <xf numFmtId="164" fontId="6" fillId="0" borderId="0" xfId="0" applyNumberFormat="1" applyFont="1"/>
    <xf numFmtId="10" fontId="6" fillId="0" borderId="0" xfId="0" applyNumberFormat="1" applyFont="1"/>
    <xf numFmtId="165" fontId="6" fillId="0" borderId="0" xfId="0" applyNumberFormat="1" applyFont="1"/>
    <xf numFmtId="0" fontId="4" fillId="0" borderId="1" xfId="0" applyFont="1" applyBorder="1" applyAlignment="1">
      <alignment horizontal="center"/>
    </xf>
    <xf numFmtId="0" fontId="7" fillId="0" borderId="1" xfId="0" applyFont="1" applyBorder="1"/>
    <xf numFmtId="164" fontId="7" fillId="0" borderId="1" xfId="0" applyNumberFormat="1" applyFont="1" applyBorder="1"/>
    <xf numFmtId="10" fontId="7" fillId="0" borderId="1" xfId="0" applyNumberFormat="1" applyFont="1" applyBorder="1"/>
    <xf numFmtId="3" fontId="7" fillId="0" borderId="1" xfId="0" applyNumberFormat="1" applyFont="1" applyBorder="1"/>
    <xf numFmtId="165" fontId="7" fillId="0" borderId="1" xfId="0" applyNumberFormat="1" applyFont="1" applyBorder="1"/>
    <xf numFmtId="0" fontId="8" fillId="0" borderId="0" xfId="0" applyFont="1" applyAlignment="1">
      <alignment horizontal="right"/>
    </xf>
    <xf numFmtId="49" fontId="6" fillId="0" borderId="0" xfId="0" applyNumberFormat="1" applyFont="1"/>
    <xf numFmtId="3" fontId="6" fillId="0" borderId="0" xfId="0" applyNumberFormat="1" applyFont="1"/>
    <xf numFmtId="167" fontId="6" fillId="0" borderId="0" xfId="0" applyNumberFormat="1" applyFont="1"/>
    <xf numFmtId="168" fontId="6" fillId="0" borderId="0" xfId="0" applyNumberFormat="1" applyFont="1"/>
    <xf numFmtId="164" fontId="4" fillId="4" borderId="0" xfId="0" applyNumberFormat="1" applyFont="1" applyFill="1" applyAlignment="1">
      <alignment horizontal="center"/>
    </xf>
    <xf numFmtId="164" fontId="6" fillId="4" borderId="0" xfId="0" applyNumberFormat="1" applyFont="1" applyFill="1"/>
    <xf numFmtId="164" fontId="7" fillId="4" borderId="1" xfId="0" applyNumberFormat="1" applyFont="1" applyFill="1" applyBorder="1"/>
    <xf numFmtId="3" fontId="0" fillId="0" borderId="0" xfId="0" applyNumberFormat="1"/>
    <xf numFmtId="164" fontId="4" fillId="5" borderId="0" xfId="0" applyNumberFormat="1" applyFont="1" applyFill="1" applyAlignment="1">
      <alignment horizontal="center"/>
    </xf>
    <xf numFmtId="3" fontId="4" fillId="3" borderId="0" xfId="0" applyNumberFormat="1" applyFont="1" applyFill="1" applyAlignment="1">
      <alignment horizontal="center"/>
    </xf>
    <xf numFmtId="0" fontId="12" fillId="0" borderId="0" xfId="1"/>
    <xf numFmtId="168" fontId="7" fillId="0" borderId="1" xfId="0" applyNumberFormat="1" applyFont="1" applyBorder="1"/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2" fillId="0" borderId="0" xfId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1" fontId="14" fillId="3" borderId="0" xfId="0" applyNumberFormat="1" applyFont="1" applyFill="1" applyAlignment="1">
      <alignment horizontal="left" vertical="center" wrapText="1"/>
    </xf>
    <xf numFmtId="0" fontId="14" fillId="3" borderId="0" xfId="0" applyFont="1" applyFill="1" applyAlignment="1">
      <alignment horizontal="left" vertical="center" wrapText="1"/>
    </xf>
    <xf numFmtId="168" fontId="14" fillId="3" borderId="0" xfId="0" applyNumberFormat="1" applyFont="1" applyFill="1" applyAlignment="1">
      <alignment horizontal="left" vertical="center" wrapText="1"/>
    </xf>
    <xf numFmtId="164" fontId="14" fillId="3" borderId="0" xfId="0" applyNumberFormat="1" applyFont="1" applyFill="1" applyAlignment="1">
      <alignment horizontal="left" vertical="center" wrapText="1"/>
    </xf>
    <xf numFmtId="0" fontId="14" fillId="5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left" vertical="center" wrapText="1"/>
    </xf>
    <xf numFmtId="2" fontId="14" fillId="3" borderId="0" xfId="0" applyNumberFormat="1" applyFont="1" applyFill="1" applyAlignment="1">
      <alignment horizontal="left" vertical="center" wrapText="1"/>
    </xf>
    <xf numFmtId="166" fontId="14" fillId="3" borderId="0" xfId="0" applyNumberFormat="1" applyFont="1" applyFill="1" applyAlignment="1">
      <alignment horizontal="left" vertical="center" wrapText="1"/>
    </xf>
    <xf numFmtId="3" fontId="14" fillId="5" borderId="0" xfId="0" applyNumberFormat="1" applyFont="1" applyFill="1" applyAlignment="1">
      <alignment horizontal="left" vertical="center" wrapText="1"/>
    </xf>
    <xf numFmtId="164" fontId="10" fillId="0" borderId="0" xfId="0" applyNumberFormat="1" applyFont="1" applyAlignment="1">
      <alignment horizontal="left" vertical="center" wrapText="1"/>
    </xf>
    <xf numFmtId="3" fontId="10" fillId="0" borderId="0" xfId="0" applyNumberFormat="1" applyFont="1" applyAlignment="1">
      <alignment horizontal="left" vertical="center" wrapText="1"/>
    </xf>
    <xf numFmtId="2" fontId="10" fillId="0" borderId="0" xfId="0" applyNumberFormat="1" applyFont="1" applyAlignment="1">
      <alignment horizontal="left" vertical="center" wrapText="1"/>
    </xf>
    <xf numFmtId="9" fontId="10" fillId="0" borderId="0" xfId="0" applyNumberFormat="1" applyFont="1" applyAlignment="1">
      <alignment horizontal="left" vertical="center" wrapText="1"/>
    </xf>
    <xf numFmtId="164" fontId="9" fillId="0" borderId="0" xfId="0" applyNumberFormat="1" applyFont="1" applyAlignment="1">
      <alignment horizontal="left" vertical="center" wrapText="1"/>
    </xf>
    <xf numFmtId="3" fontId="9" fillId="0" borderId="0" xfId="0" applyNumberFormat="1" applyFont="1" applyAlignment="1">
      <alignment horizontal="left" vertical="center" wrapText="1"/>
    </xf>
    <xf numFmtId="2" fontId="9" fillId="0" borderId="0" xfId="0" applyNumberFormat="1" applyFont="1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8" fontId="6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164" fontId="6" fillId="4" borderId="0" xfId="0" applyNumberFormat="1" applyFont="1" applyFill="1" applyAlignment="1">
      <alignment horizontal="right" vertical="center" wrapText="1"/>
    </xf>
    <xf numFmtId="3" fontId="6" fillId="0" borderId="0" xfId="0" applyNumberFormat="1" applyFont="1" applyAlignment="1">
      <alignment horizontal="right" vertical="center" wrapText="1"/>
    </xf>
    <xf numFmtId="2" fontId="6" fillId="0" borderId="0" xfId="0" applyNumberFormat="1" applyFont="1" applyAlignment="1">
      <alignment horizontal="right" vertical="center" wrapText="1"/>
    </xf>
    <xf numFmtId="3" fontId="6" fillId="4" borderId="0" xfId="0" applyNumberFormat="1" applyFont="1" applyFill="1" applyAlignment="1">
      <alignment horizontal="right" vertical="center" wrapText="1"/>
    </xf>
    <xf numFmtId="164" fontId="1" fillId="0" borderId="0" xfId="0" applyNumberFormat="1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5" fillId="3" borderId="0" xfId="0" applyFont="1" applyFill="1"/>
    <xf numFmtId="0" fontId="16" fillId="3" borderId="0" xfId="0" applyFont="1" applyFill="1" applyAlignment="1">
      <alignment horizontal="left"/>
    </xf>
    <xf numFmtId="164" fontId="16" fillId="3" borderId="0" xfId="0" applyNumberFormat="1" applyFont="1" applyFill="1" applyAlignment="1">
      <alignment horizontal="left"/>
    </xf>
    <xf numFmtId="164" fontId="16" fillId="3" borderId="0" xfId="0" applyNumberFormat="1" applyFont="1" applyFill="1" applyAlignment="1">
      <alignment horizontal="left" wrapText="1"/>
    </xf>
    <xf numFmtId="3" fontId="16" fillId="3" borderId="0" xfId="0" applyNumberFormat="1" applyFont="1" applyFill="1" applyAlignment="1">
      <alignment horizontal="left" wrapText="1"/>
    </xf>
    <xf numFmtId="3" fontId="16" fillId="3" borderId="0" xfId="0" applyNumberFormat="1" applyFont="1" applyFill="1" applyAlignment="1">
      <alignment horizontal="left"/>
    </xf>
    <xf numFmtId="166" fontId="16" fillId="3" borderId="0" xfId="0" applyNumberFormat="1" applyFont="1" applyFill="1" applyAlignment="1">
      <alignment horizontal="left"/>
    </xf>
    <xf numFmtId="0" fontId="12" fillId="0" borderId="0" xfId="1" applyAlignment="1">
      <alignment horizontal="left" vertical="center" wrapText="1"/>
    </xf>
    <xf numFmtId="168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2" fontId="1" fillId="0" borderId="0" xfId="0" applyNumberFormat="1" applyFont="1" applyAlignment="1">
      <alignment horizontal="right" vertical="center" wrapText="1"/>
    </xf>
    <xf numFmtId="169" fontId="7" fillId="4" borderId="1" xfId="2" applyNumberFormat="1" applyFont="1" applyFill="1" applyBorder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6" fillId="4" borderId="0" xfId="0" applyNumberFormat="1" applyFont="1" applyFill="1" applyAlignment="1">
      <alignment vertical="center" wrapText="1"/>
    </xf>
    <xf numFmtId="3" fontId="6" fillId="0" borderId="0" xfId="0" applyNumberFormat="1" applyFont="1" applyAlignment="1">
      <alignment vertical="center" wrapText="1"/>
    </xf>
    <xf numFmtId="10" fontId="6" fillId="0" borderId="0" xfId="3" applyNumberFormat="1" applyFont="1" applyAlignment="1">
      <alignment vertical="center" wrapText="1"/>
    </xf>
    <xf numFmtId="168" fontId="6" fillId="0" borderId="0" xfId="0" applyNumberFormat="1" applyFont="1" applyAlignment="1">
      <alignment vertical="center" wrapText="1"/>
    </xf>
    <xf numFmtId="165" fontId="6" fillId="0" borderId="0" xfId="0" applyNumberFormat="1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169" fontId="6" fillId="4" borderId="0" xfId="2" applyNumberFormat="1" applyFont="1" applyFill="1" applyAlignment="1">
      <alignment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center" vertical="center" wrapText="1"/>
    </xf>
    <xf numFmtId="164" fontId="10" fillId="4" borderId="3" xfId="0" applyNumberFormat="1" applyFont="1" applyFill="1" applyBorder="1" applyAlignment="1">
      <alignment horizontal="center" vertical="center" wrapText="1"/>
    </xf>
    <xf numFmtId="168" fontId="10" fillId="4" borderId="3" xfId="0" applyNumberFormat="1" applyFont="1" applyFill="1" applyBorder="1" applyAlignment="1">
      <alignment horizontal="center" vertical="center" wrapText="1"/>
    </xf>
    <xf numFmtId="3" fontId="10" fillId="4" borderId="4" xfId="0" applyNumberFormat="1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left" vertical="center" wrapText="1"/>
    </xf>
    <xf numFmtId="168" fontId="10" fillId="6" borderId="5" xfId="0" applyNumberFormat="1" applyFont="1" applyFill="1" applyBorder="1" applyAlignment="1">
      <alignment vertical="center" wrapText="1"/>
    </xf>
    <xf numFmtId="169" fontId="10" fillId="6" borderId="8" xfId="2" applyNumberFormat="1" applyFont="1" applyFill="1" applyBorder="1" applyAlignment="1">
      <alignment vertical="center" wrapText="1"/>
    </xf>
    <xf numFmtId="9" fontId="10" fillId="6" borderId="6" xfId="3" applyFont="1" applyFill="1" applyBorder="1" applyAlignment="1">
      <alignment vertical="center" wrapText="1"/>
    </xf>
    <xf numFmtId="164" fontId="10" fillId="6" borderId="8" xfId="4" applyNumberFormat="1" applyFont="1" applyFill="1" applyBorder="1" applyAlignment="1">
      <alignment vertical="center" wrapText="1"/>
    </xf>
    <xf numFmtId="0" fontId="10" fillId="7" borderId="7" xfId="0" applyFont="1" applyFill="1" applyBorder="1" applyAlignment="1">
      <alignment horizontal="left" vertical="center" wrapText="1"/>
    </xf>
    <xf numFmtId="168" fontId="10" fillId="7" borderId="8" xfId="4" applyNumberFormat="1" applyFont="1" applyFill="1" applyBorder="1" applyAlignment="1">
      <alignment vertical="center" wrapText="1"/>
    </xf>
    <xf numFmtId="169" fontId="10" fillId="7" borderId="8" xfId="2" applyNumberFormat="1" applyFont="1" applyFill="1" applyBorder="1" applyAlignment="1">
      <alignment vertical="center" wrapText="1"/>
    </xf>
    <xf numFmtId="9" fontId="10" fillId="7" borderId="3" xfId="3" applyFont="1" applyFill="1" applyBorder="1" applyAlignment="1">
      <alignment vertical="center" wrapText="1"/>
    </xf>
    <xf numFmtId="164" fontId="10" fillId="7" borderId="8" xfId="4" applyNumberFormat="1" applyFont="1" applyFill="1" applyBorder="1" applyAlignment="1">
      <alignment vertical="center" wrapText="1"/>
    </xf>
    <xf numFmtId="0" fontId="10" fillId="8" borderId="7" xfId="0" applyFont="1" applyFill="1" applyBorder="1" applyAlignment="1">
      <alignment horizontal="left" vertical="center" wrapText="1"/>
    </xf>
    <xf numFmtId="168" fontId="10" fillId="8" borderId="5" xfId="0" applyNumberFormat="1" applyFont="1" applyFill="1" applyBorder="1" applyAlignment="1">
      <alignment vertical="center" wrapText="1"/>
    </xf>
    <xf numFmtId="169" fontId="10" fillId="8" borderId="8" xfId="2" applyNumberFormat="1" applyFont="1" applyFill="1" applyBorder="1" applyAlignment="1">
      <alignment vertical="center" wrapText="1"/>
    </xf>
    <xf numFmtId="9" fontId="10" fillId="8" borderId="6" xfId="3" applyFont="1" applyFill="1" applyBorder="1" applyAlignment="1">
      <alignment vertical="center" wrapText="1"/>
    </xf>
    <xf numFmtId="164" fontId="10" fillId="8" borderId="8" xfId="4" applyNumberFormat="1" applyFont="1" applyFill="1" applyBorder="1" applyAlignment="1">
      <alignment vertical="center" wrapText="1"/>
    </xf>
    <xf numFmtId="2" fontId="12" fillId="0" borderId="0" xfId="1" applyNumberFormat="1" applyAlignment="1">
      <alignment horizontal="right" vertical="center" wrapText="1"/>
    </xf>
    <xf numFmtId="0" fontId="2" fillId="2" borderId="0" xfId="0" applyFont="1" applyFill="1" applyAlignment="1">
      <alignment horizontal="center"/>
    </xf>
    <xf numFmtId="0" fontId="0" fillId="0" borderId="0" xfId="0"/>
    <xf numFmtId="164" fontId="9" fillId="2" borderId="0" xfId="0" applyNumberFormat="1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164" fontId="10" fillId="2" borderId="0" xfId="0" applyNumberFormat="1" applyFont="1" applyFill="1" applyAlignment="1">
      <alignment horizontal="center" vertical="center" wrapText="1"/>
    </xf>
    <xf numFmtId="164" fontId="17" fillId="2" borderId="0" xfId="0" applyNumberFormat="1" applyFont="1" applyFill="1" applyAlignment="1">
      <alignment horizontal="center" vertical="center" wrapText="1"/>
    </xf>
  </cellXfs>
  <cellStyles count="5">
    <cellStyle name="Comma" xfId="2" builtinId="3"/>
    <cellStyle name="Currency" xfId="4" builtinId="4"/>
    <cellStyle name="Hyperlink" xfId="1" builtinId="8"/>
    <cellStyle name="Normal" xfId="0" builtinId="0"/>
    <cellStyle name="Percent" xfId="3" builtinId="5"/>
  </cellStyles>
  <dxfs count="308">
    <dxf>
      <font>
        <color rgb="FFFF0000"/>
      </font>
    </dxf>
    <dxf>
      <font>
        <color rgb="FFFF0000"/>
      </font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border outline="0">
        <bottom style="medium">
          <color rgb="FFA5A5A5"/>
        </bottom>
      </border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border outline="0">
        <bottom style="medium">
          <color rgb="FFA5A5A5"/>
        </bottom>
      </border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border outline="0">
        <bottom style="medium">
          <color rgb="FFA5A5A5"/>
        </bottom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border outline="0">
        <bottom style="medium">
          <color rgb="FFA5A5A5"/>
        </bottom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DAD2E9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numFmt numFmtId="3" formatCode="#,##0"/>
      <alignment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3" formatCode="#,##0"/>
      <fill>
        <patternFill patternType="solid">
          <fgColor rgb="FFD9D2E9"/>
          <bgColor rgb="FFD9D2E9"/>
        </patternFill>
      </fill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border outline="0">
        <bottom style="medium">
          <color rgb="FFA5A5A5"/>
        </bottom>
      </border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border outline="0">
        <bottom style="medium">
          <color theme="6"/>
        </bottom>
      </border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border outline="0">
        <bottom style="medium">
          <color rgb="FFA5A5A5"/>
        </bottom>
      </border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border outline="0">
        <bottom style="medium">
          <color rgb="FFA5A5A5"/>
        </bottom>
      </border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border outline="0">
        <bottom style="medium">
          <color rgb="FFA5A5A5"/>
        </bottom>
      </border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border outline="0">
        <bottom style="medium">
          <color rgb="FFA5A5A5"/>
        </bottom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top style="thin">
          <color rgb="FFA5A5A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" formatCode="#,##0"/>
      <alignment horizontal="right" vertical="center" textRotation="0" wrapText="1" indent="0" justifyLastLine="0" shrinkToFit="0" readingOrder="0"/>
    </dxf>
    <dxf>
      <border outline="0">
        <bottom style="medium">
          <color rgb="FFA5A5A5"/>
        </bottom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none"/>
      </font>
      <alignment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" formatCode="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 outline="0"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alignment horizontal="right" vertical="center" textRotation="0" wrapText="1" indent="0" justifyLastLine="0" shrinkToFit="0" readingOrder="0"/>
    </dxf>
    <dxf>
      <border outline="0">
        <bottom style="medium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z val="10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7" formatCode="\$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  <fill>
        <patternFill patternType="solid">
          <fgColor indexed="64"/>
          <bgColor rgb="FFDAD2E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D9D2E9"/>
          <bgColor rgb="FFD9D2E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  <fill>
        <patternFill patternType="solid">
          <fgColor indexed="64"/>
          <bgColor rgb="FFDAD2E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D9D2E9"/>
          <bgColor rgb="FFD9D2E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A6A6A6"/>
      <color rgb="FFDAD2E9"/>
      <color rgb="FFB5A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'Top 50 Summary'!$F$2</c:f>
              <c:strCache>
                <c:ptCount val="1"/>
                <c:pt idx="0">
                  <c:v>Revenue by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1E-4CB0-9020-0A736FFA0F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1E-4CB0-9020-0A736FFA0F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1E-4CB0-9020-0A736FFA0F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1E-4CB0-9020-0A736FFA0F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1E-4CB0-9020-0A736FFA0F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11-4604-A57E-FD02648CB4C1}"/>
              </c:ext>
            </c:extLst>
          </c:dPt>
          <c:dLbls>
            <c:dLbl>
              <c:idx val="1"/>
              <c:layout>
                <c:manualLayout>
                  <c:x val="1.7990652062787476E-2"/>
                  <c:y val="9.053201683122865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1E-4CB0-9020-0A736FFA0FBE}"/>
                </c:ext>
              </c:extLst>
            </c:dLbl>
            <c:dLbl>
              <c:idx val="3"/>
              <c:layout>
                <c:manualLayout>
                  <c:x val="-1.2022810395585826E-2"/>
                  <c:y val="-4.251335249760446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C1E-4CB0-9020-0A736FFA0FBE}"/>
                </c:ext>
              </c:extLst>
            </c:dLbl>
            <c:dLbl>
              <c:idx val="5"/>
              <c:layout>
                <c:manualLayout>
                  <c:x val="-6.0365537844278602E-2"/>
                  <c:y val="9.3534974794817118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711-4604-A57E-FD02648CB4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50 Summary'!$A$3:$A$8</c:f>
              <c:strCache>
                <c:ptCount val="6"/>
                <c:pt idx="0">
                  <c:v>Articulation</c:v>
                </c:pt>
                <c:pt idx="1">
                  <c:v>Handheld</c:v>
                </c:pt>
                <c:pt idx="2">
                  <c:v>Landscape</c:v>
                </c:pt>
                <c:pt idx="3">
                  <c:v>Portrait</c:v>
                </c:pt>
                <c:pt idx="4">
                  <c:v>USB</c:v>
                </c:pt>
                <c:pt idx="5">
                  <c:v>Wireless</c:v>
                </c:pt>
              </c:strCache>
            </c:strRef>
          </c:cat>
          <c:val>
            <c:numRef>
              <c:f>'Top 50 Summary'!$F$3:$F$8</c:f>
              <c:numCache>
                <c:formatCode>0%</c:formatCode>
                <c:ptCount val="6"/>
                <c:pt idx="0">
                  <c:v>0.36552859097540136</c:v>
                </c:pt>
                <c:pt idx="1">
                  <c:v>0.10736301600059743</c:v>
                </c:pt>
                <c:pt idx="2">
                  <c:v>0.32858758831489304</c:v>
                </c:pt>
                <c:pt idx="3">
                  <c:v>5.7594946519661273E-3</c:v>
                </c:pt>
                <c:pt idx="4">
                  <c:v>0.16741277260502788</c:v>
                </c:pt>
                <c:pt idx="5">
                  <c:v>2.5348537452114087E-2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1E-4CB0-9020-0A736FFA0F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'Top 50 Summary'!$D$28</c:f>
              <c:strCache>
                <c:ptCount val="1"/>
                <c:pt idx="0">
                  <c:v>Qty by %</c:v>
                </c:pt>
              </c:strCache>
            </c:strRef>
          </c:tx>
          <c:dLbls>
            <c:dLbl>
              <c:idx val="1"/>
              <c:layout>
                <c:manualLayout>
                  <c:x val="2.879416630021802E-2"/>
                  <c:y val="8.726575844686041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81-4888-B4EA-BD2F9A4DBD4A}"/>
                </c:ext>
              </c:extLst>
            </c:dLbl>
            <c:dLbl>
              <c:idx val="3"/>
              <c:layout>
                <c:manualLayout>
                  <c:x val="-2.3388426919703633E-2"/>
                  <c:y val="-1.328567262425530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81-4888-B4EA-BD2F9A4DBD4A}"/>
                </c:ext>
              </c:extLst>
            </c:dLbl>
            <c:dLbl>
              <c:idx val="5"/>
              <c:layout>
                <c:manualLayout>
                  <c:x val="-7.8649670534207142E-2"/>
                  <c:y val="5.9985835103945244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81-4888-B4EA-BD2F9A4DBD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>
                  <a:solidFill>
                    <a:srgbClr val="A6A6A6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50 Summary'!$A$29:$A$34</c:f>
              <c:strCache>
                <c:ptCount val="6"/>
                <c:pt idx="0">
                  <c:v>Articulation</c:v>
                </c:pt>
                <c:pt idx="1">
                  <c:v>Handheld</c:v>
                </c:pt>
                <c:pt idx="2">
                  <c:v>Landscape</c:v>
                </c:pt>
                <c:pt idx="3">
                  <c:v>Portrait</c:v>
                </c:pt>
                <c:pt idx="4">
                  <c:v>USB</c:v>
                </c:pt>
                <c:pt idx="5">
                  <c:v>Wireless</c:v>
                </c:pt>
              </c:strCache>
            </c:strRef>
          </c:cat>
          <c:val>
            <c:numRef>
              <c:f>'Top 50 Summary'!$D$29:$D$34</c:f>
              <c:numCache>
                <c:formatCode>0%</c:formatCode>
                <c:ptCount val="6"/>
                <c:pt idx="0">
                  <c:v>0.13749751988600495</c:v>
                </c:pt>
                <c:pt idx="1">
                  <c:v>0.11673671109828467</c:v>
                </c:pt>
                <c:pt idx="2">
                  <c:v>0.33996500784617883</c:v>
                </c:pt>
                <c:pt idx="3">
                  <c:v>6.2949802492740028E-3</c:v>
                </c:pt>
                <c:pt idx="4">
                  <c:v>0.36799480528850492</c:v>
                </c:pt>
                <c:pt idx="5">
                  <c:v>3.1510975631752675E-2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A37-4539-8142-FC94F855F76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ln w="9525">
      <a:solidFill>
        <a:schemeClr val="bg2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Proportion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'Top 50 Summary'!$F$2</c:f>
              <c:strCache>
                <c:ptCount val="1"/>
                <c:pt idx="0">
                  <c:v>Revenue by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73-4A98-A992-00A9E47461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73-4A98-A992-00A9E47461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773-4A98-A992-00A9E47461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773-4A98-A992-00A9E47461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773-4A98-A992-00A9E47461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0C4-4A20-BF3F-188541D9AB0E}"/>
              </c:ext>
            </c:extLst>
          </c:dPt>
          <c:dLbls>
            <c:dLbl>
              <c:idx val="1"/>
              <c:layout>
                <c:manualLayout>
                  <c:x val="1.2032947061983785E-2"/>
                  <c:y val="1.5414406532516769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73-4A98-A992-00A9E47461E8}"/>
                </c:ext>
              </c:extLst>
            </c:dLbl>
            <c:dLbl>
              <c:idx val="3"/>
              <c:layout>
                <c:manualLayout>
                  <c:x val="-7.7412755884455663E-3"/>
                  <c:y val="-2.45655959671707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773-4A98-A992-00A9E47461E8}"/>
                </c:ext>
              </c:extLst>
            </c:dLbl>
            <c:dLbl>
              <c:idx val="5"/>
              <c:layout>
                <c:manualLayout>
                  <c:x val="-8.7494636014031082E-2"/>
                  <c:y val="2.627571553555803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C4-4A20-BF3F-188541D9AB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50 Summary'!$A$29:$A$34</c:f>
              <c:strCache>
                <c:ptCount val="6"/>
                <c:pt idx="0">
                  <c:v>Articulation</c:v>
                </c:pt>
                <c:pt idx="1">
                  <c:v>Handheld</c:v>
                </c:pt>
                <c:pt idx="2">
                  <c:v>Landscape</c:v>
                </c:pt>
                <c:pt idx="3">
                  <c:v>Portrait</c:v>
                </c:pt>
                <c:pt idx="4">
                  <c:v>USB</c:v>
                </c:pt>
                <c:pt idx="5">
                  <c:v>Wireless</c:v>
                </c:pt>
              </c:strCache>
            </c:strRef>
          </c:cat>
          <c:val>
            <c:numRef>
              <c:f>'Top 50 Summary'!$F$29:$F$34</c:f>
              <c:numCache>
                <c:formatCode>0%</c:formatCode>
                <c:ptCount val="6"/>
                <c:pt idx="0">
                  <c:v>0.34885551233340834</c:v>
                </c:pt>
                <c:pt idx="1">
                  <c:v>0.10510999053374932</c:v>
                </c:pt>
                <c:pt idx="2">
                  <c:v>0.31526057659490703</c:v>
                </c:pt>
                <c:pt idx="3">
                  <c:v>6.018411136069577E-3</c:v>
                </c:pt>
                <c:pt idx="4">
                  <c:v>0.19826743548156059</c:v>
                </c:pt>
                <c:pt idx="5">
                  <c:v>2.648807392030501E-2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773-4A98-A992-00A9E47461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Qty Proportion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'Top 50 Summary'!$D$2</c:f>
              <c:strCache>
                <c:ptCount val="1"/>
                <c:pt idx="0">
                  <c:v>Qty by 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6B-4FA9-BF6A-8897EDE3AC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6B-4FA9-BF6A-8897EDE3AC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6B-4FA9-BF6A-8897EDE3AC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6B-4FA9-BF6A-8897EDE3AC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66B-4FA9-BF6A-8897EDE3AC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66B-4FA9-BF6A-8897EDE3AC14}"/>
              </c:ext>
            </c:extLst>
          </c:dPt>
          <c:dLbls>
            <c:dLbl>
              <c:idx val="1"/>
              <c:layout>
                <c:manualLayout>
                  <c:x val="6.1785395187592372E-3"/>
                  <c:y val="-3.2882223055451403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66B-4FA9-BF6A-8897EDE3AC14}"/>
                </c:ext>
              </c:extLst>
            </c:dLbl>
            <c:dLbl>
              <c:idx val="3"/>
              <c:layout>
                <c:manualLayout>
                  <c:x val="-4.0711024397025251E-2"/>
                  <c:y val="-4.6415531391909341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66B-4FA9-BF6A-8897EDE3AC14}"/>
                </c:ext>
              </c:extLst>
            </c:dLbl>
            <c:dLbl>
              <c:idx val="5"/>
              <c:layout>
                <c:manualLayout>
                  <c:x val="-6.643619427065961E-2"/>
                  <c:y val="9.284506103403721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66B-4FA9-BF6A-8897EDE3AC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'Top 50 Summary'!$A$3:$A$8</c:f>
              <c:strCache>
                <c:ptCount val="6"/>
                <c:pt idx="0">
                  <c:v>Articulation</c:v>
                </c:pt>
                <c:pt idx="1">
                  <c:v>Handheld</c:v>
                </c:pt>
                <c:pt idx="2">
                  <c:v>Landscape</c:v>
                </c:pt>
                <c:pt idx="3">
                  <c:v>Portrait</c:v>
                </c:pt>
                <c:pt idx="4">
                  <c:v>USB</c:v>
                </c:pt>
                <c:pt idx="5">
                  <c:v>Wireless</c:v>
                </c:pt>
              </c:strCache>
            </c:strRef>
          </c:cat>
          <c:val>
            <c:numRef>
              <c:f>'Top 50 Summary'!$D$3:$D$8</c:f>
              <c:numCache>
                <c:formatCode>0%</c:formatCode>
                <c:ptCount val="6"/>
                <c:pt idx="0">
                  <c:v>0.15920426314691546</c:v>
                </c:pt>
                <c:pt idx="1">
                  <c:v>0.11573837021865696</c:v>
                </c:pt>
                <c:pt idx="2">
                  <c:v>0.3479547135461114</c:v>
                </c:pt>
                <c:pt idx="3">
                  <c:v>6.6184976579241814E-3</c:v>
                </c:pt>
                <c:pt idx="4">
                  <c:v>0.33735373878743052</c:v>
                </c:pt>
                <c:pt idx="5">
                  <c:v>3.3130416642961444E-2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66B-4FA9-BF6A-8897EDE3AC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10</xdr:row>
      <xdr:rowOff>0</xdr:rowOff>
    </xdr:from>
    <xdr:to>
      <xdr:col>5</xdr:col>
      <xdr:colOff>1171574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74BC87-0929-40A7-BD4A-6993464CA3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2</xdr:col>
      <xdr:colOff>1800224</xdr:colOff>
      <xdr:row>51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CA3186-E6D4-4308-9961-DAA04537FB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133350</xdr:colOff>
      <xdr:row>36</xdr:row>
      <xdr:rowOff>0</xdr:rowOff>
    </xdr:from>
    <xdr:to>
      <xdr:col>5</xdr:col>
      <xdr:colOff>1171574</xdr:colOff>
      <xdr:row>51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EDB6155-9A97-4C55-80DD-9E00B504D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</xdr:row>
      <xdr:rowOff>0</xdr:rowOff>
    </xdr:from>
    <xdr:to>
      <xdr:col>2</xdr:col>
      <xdr:colOff>1800224</xdr:colOff>
      <xdr:row>25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44D110-AF24-4CB7-BA47-18F780D8EA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AA4E10B-D5A6-443C-B693-D033EB4D31C1}" name="Table9" displayName="Table9" ref="A2:I14" totalsRowShown="0" headerRowDxfId="307" dataDxfId="306">
  <autoFilter ref="A2:I14" xr:uid="{4AA4E10B-D5A6-443C-B693-D033EB4D31C1}"/>
  <tableColumns count="9">
    <tableColumn id="1" xr3:uid="{59DDC482-1870-4E2E-8BF5-EB9285BAA99D}" name="Brand" dataDxfId="305"/>
    <tableColumn id="2" xr3:uid="{A8F5DD56-4D89-4316-9459-4199363C4811}" name="# of Listings" dataDxfId="304"/>
    <tableColumn id="3" xr3:uid="{91461C01-4EE9-4E2F-8CE4-B84CAE796483}" name="Monthly Rev" dataDxfId="303"/>
    <tableColumn id="4" xr3:uid="{E1C2FE0F-476F-45D7-99E4-C62B7E7617DF}" name="Estimated 12mo Revenue" dataDxfId="302"/>
    <tableColumn id="5" xr3:uid="{EEB0224F-3BAE-45B1-B08F-C44B106F5E6E}" name="Monthly Units" dataDxfId="301"/>
    <tableColumn id="6" xr3:uid="{4B65CA95-5782-4827-9724-9E485297FD7F}" name="Monthly Rev Market Share %" dataDxfId="300"/>
    <tableColumn id="7" xr3:uid="{4F4A5C13-103E-4697-B9EB-117A7FD0539D}" name="Price Per Unit" dataDxfId="299"/>
    <tableColumn id="8" xr3:uid="{E0D5D588-BDF2-4ABE-AF1F-198CEF23594F}" name="Total Reviews" dataDxfId="298"/>
    <tableColumn id="9" xr3:uid="{A50EE09D-EAE0-498F-A9AC-27B29E4D309C}" name="Avg Rating" dataDxfId="297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034B056-BB80-42A4-A9A4-072CDCA6DE03}" name="Table10" displayName="Table10" ref="A18:I30" totalsRowShown="0" headerRowDxfId="296" dataDxfId="295">
  <autoFilter ref="A18:I30" xr:uid="{2034B056-BB80-42A4-A9A4-072CDCA6DE03}"/>
  <tableColumns count="9">
    <tableColumn id="1" xr3:uid="{BE2B1C31-1506-4D6D-AFD9-223B194FC431}" name="Brand"/>
    <tableColumn id="2" xr3:uid="{C8B6087A-05CA-4623-863E-B3ACE8B42FAA}" name="# of Listings" dataDxfId="294"/>
    <tableColumn id="3" xr3:uid="{2A144B7C-B67E-4594-81D3-4FDAD7CBC96E}" name="Monthly Rev" dataDxfId="293"/>
    <tableColumn id="4" xr3:uid="{F07E138E-DFCC-47F8-A515-7301D3BA46DC}" name="Estimated 12mo Units" dataDxfId="292"/>
    <tableColumn id="5" xr3:uid="{DBEA200E-9508-46F6-8155-110A1C053D3E}" name="Monthly Units" dataDxfId="291"/>
    <tableColumn id="6" xr3:uid="{C4E170ED-8710-4EB9-8D0F-ED468ED04C85}" name="Monthly Unit Market Share %" dataDxfId="290"/>
    <tableColumn id="7" xr3:uid="{243C70F3-D5DA-4951-B027-73543B636986}" name="Price Per Unit" dataDxfId="289"/>
    <tableColumn id="8" xr3:uid="{2E949DBF-E878-4D5A-90F1-17C24AD5A19B}" name="Reviews" dataDxfId="288"/>
    <tableColumn id="9" xr3:uid="{E2E9E495-C902-4664-94C1-A9CC959F200A}" name="Avg Rating" dataDxfId="287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8ABEA72-310D-4460-97CB-49594AA366B1}" name="Table7" displayName="Table7" ref="A2:L52" totalsRowShown="0" headerRowDxfId="286" dataDxfId="285">
  <autoFilter ref="A2:L52" xr:uid="{28ABEA72-310D-4460-97CB-49594AA366B1}"/>
  <tableColumns count="12">
    <tableColumn id="1" xr3:uid="{4715B50F-060A-403A-80FE-1C375C17FE5E}" name="Ranking" dataDxfId="284"/>
    <tableColumn id="2" xr3:uid="{54574D91-311E-4D96-B218-A0A388FC0E6A}" name="ASIN" dataDxfId="283"/>
    <tableColumn id="3" xr3:uid="{15FC621E-64BB-40B8-BB93-F6A0D114904C}" name="Product Name" dataDxfId="282"/>
    <tableColumn id="4" xr3:uid="{84BAED59-00DF-4C39-B744-BA56FF1507A3}" name="Brand" dataDxfId="281"/>
    <tableColumn id="5" xr3:uid="{2AF1F347-7B13-4C9C-A1D8-EF0ED0F80533}" name="Type" dataDxfId="280"/>
    <tableColumn id="6" xr3:uid="{8CA4556A-ACD5-4171-9FD4-AF6BA41EDDF2}" name="Price" dataDxfId="279"/>
    <tableColumn id="7" xr3:uid="{D4CD1066-B6AD-4012-8B46-ACEE18E90D84}" name="Est. Monthly Retail Rev" dataDxfId="278"/>
    <tableColumn id="8" xr3:uid="{0A335ED3-71B3-4B06-964A-AAD1D3715644}" name="Est. Monthly Units Sold" dataDxfId="277"/>
    <tableColumn id="9" xr3:uid="{ABDF4E3D-75BE-4E22-9859-393763DAA114}" name="# of Reviews" dataDxfId="276"/>
    <tableColumn id="11" xr3:uid="{2315F7F9-087A-478B-B11C-6E75249A5DF7}" name="Avg. Rating" dataDxfId="275"/>
    <tableColumn id="10" xr3:uid="{3358C17E-8F44-4475-99FC-B8B50B1E2C4D}" name="Column2" dataDxfId="274" dataCellStyle="Hyperlink"/>
    <tableColumn id="13" xr3:uid="{D1DBEE25-931F-4BE6-9737-FA50230FB88D}" name="Link" dataDxfId="273">
      <calculatedColumnFormula>HYPERLINK(K3)</calculatedColumnFormula>
    </tableColumn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59DCDBC-50DA-46D3-958E-407BBB6F51F5}" name="Table8" displayName="Table8" ref="A56:L106" totalsRowShown="0" headerRowDxfId="272" dataDxfId="271">
  <autoFilter ref="A56:L106" xr:uid="{A59DCDBC-50DA-46D3-958E-407BBB6F51F5}"/>
  <tableColumns count="12">
    <tableColumn id="1" xr3:uid="{0938D7FF-C44D-4D90-AE85-02C17A7E838A}" name="Ranking" dataDxfId="270"/>
    <tableColumn id="2" xr3:uid="{231AAF06-86B4-4792-8A6C-015B80B0DBEF}" name="ASIN" dataDxfId="269"/>
    <tableColumn id="3" xr3:uid="{AAC75754-6EB9-49D4-9244-C1BBE2F2DEA4}" name="Product Name" dataDxfId="268"/>
    <tableColumn id="4" xr3:uid="{F751F635-89F9-42AC-8DAD-497317024A61}" name="Brand" dataDxfId="267"/>
    <tableColumn id="5" xr3:uid="{5D1305B2-11AC-462A-A592-A88F596F78A4}" name="Type" dataDxfId="266"/>
    <tableColumn id="6" xr3:uid="{663B81CB-2F51-49C2-837D-D617D25C6466}" name="Price" dataDxfId="265"/>
    <tableColumn id="7" xr3:uid="{09EF5AAE-F480-4327-B12E-601E87113177}" name="Est. Monthly Retail Rev" dataDxfId="264"/>
    <tableColumn id="8" xr3:uid="{A3869BD7-4065-49B6-9034-34C621B13300}" name="Est. Monthly Units Sold" dataDxfId="263"/>
    <tableColumn id="9" xr3:uid="{472CFF8B-1E88-4F1B-B34F-30770ED3616C}" name="# of Reviews" dataDxfId="262"/>
    <tableColumn id="11" xr3:uid="{9B46B1E4-DAB0-44BB-8E8B-FBE9E9C9CB48}" name="Avg. Rating" dataDxfId="261"/>
    <tableColumn id="10" xr3:uid="{AD6D991F-1745-4ED5-BEF7-1E88AF8322E0}" name="Column2" dataDxfId="260" dataCellStyle="Hyperlink"/>
    <tableColumn id="12" xr3:uid="{36342CC1-3217-4CA5-99AA-97EE8906A57B}" name="Link" dataDxfId="259" dataCellStyle="Hyperlink">
      <calculatedColumnFormula>HYPERLINK(K57)</calculatedColumnFormula>
    </tableColumn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F4A96C2-3AFE-41A8-83B5-B2821344F5D7}" name="Table19" displayName="Table19" ref="A8:K16" totalsRowShown="0" dataDxfId="257" headerRowBorderDxfId="258" tableBorderDxfId="256">
  <autoFilter ref="A8:K16" xr:uid="{0F4A96C2-3AFE-41A8-83B5-B2821344F5D7}"/>
  <tableColumns count="11">
    <tableColumn id="1" xr3:uid="{D525D79C-B7C4-4405-88D6-337386E43422}" name="Product Name" dataDxfId="255"/>
    <tableColumn id="2" xr3:uid="{46B363DC-9A48-4B1D-981A-11BCEC5CB617}" name="ASIN" dataDxfId="254"/>
    <tableColumn id="3" xr3:uid="{E7A2DF37-0308-47AD-95D4-8C3D556C8C1D}" name="Avg Price" dataDxfId="253"/>
    <tableColumn id="4" xr3:uid="{081F4A02-6010-46D9-8C40-7BEBF21C4B32}" name="Estimated 12mo Revenue" dataDxfId="252"/>
    <tableColumn id="5" xr3:uid="{982A99B0-F846-4008-B20D-9B9DF2B028B8}" name="Monthly Rev" dataDxfId="251"/>
    <tableColumn id="6" xr3:uid="{A6D91AB5-6177-4FB9-B65D-0443546B281C}" name="Estimated 12mo Units" dataDxfId="250"/>
    <tableColumn id="7" xr3:uid="{2374C00A-A30E-4E44-8169-F57BCF277E4A}" name="Monthly Units" dataDxfId="249"/>
    <tableColumn id="8" xr3:uid="{A35F95CC-AA71-4470-A82E-F53DE8F9769C}" name="# of Reviews" dataDxfId="248"/>
    <tableColumn id="9" xr3:uid="{6DFE11D0-98CB-4361-A7B6-8E3E0B0666E4}" name="Tool Rating " dataDxfId="247"/>
    <tableColumn id="11" xr3:uid="{2B26465A-2C6A-4038-BCEC-4F5BE491B875}" name="Column1" dataDxfId="246"/>
    <tableColumn id="10" xr3:uid="{4A197A70-EB77-4A6E-931E-F8A592BD9E21}" name="Link" dataDxfId="245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4F2DAC-4C26-4682-BF42-014924E0B654}" name="Table43" displayName="Table43" ref="A21:K29" totalsRowShown="0" headerRowDxfId="244" dataDxfId="243">
  <autoFilter ref="A21:K29" xr:uid="{C14F2DAC-4C26-4682-BF42-014924E0B654}"/>
  <tableColumns count="11">
    <tableColumn id="1" xr3:uid="{66689EC8-A80F-46A9-8BA1-CD891953E059}" name="Product Name" dataDxfId="242"/>
    <tableColumn id="12" xr3:uid="{E3FC8BA4-1F29-4E88-9427-43183537108B}" name="ASIN" dataDxfId="241"/>
    <tableColumn id="3" xr3:uid="{219A9655-B89D-41BB-B5D2-E5393C183A6F}" name="Avg Price" dataDxfId="240"/>
    <tableColumn id="4" xr3:uid="{4B077CD3-D19E-4B5E-B6A8-1B99D24FA79C}" name="Estimated 12mo Revenue" dataDxfId="239"/>
    <tableColumn id="5" xr3:uid="{21557FAC-8BDD-46C3-833C-0508018BEB74}" name="Monthly Rev" dataDxfId="238"/>
    <tableColumn id="6" xr3:uid="{4DA015D1-DC20-4759-81E5-3F256C7B75A5}" name="Estimated 12mo Units" dataDxfId="237"/>
    <tableColumn id="7" xr3:uid="{5630E707-A702-4E28-9191-51313BC35209}" name="Monthly Units" dataDxfId="236"/>
    <tableColumn id="8" xr3:uid="{F4A40CB6-EED6-44DE-B12C-9DBFFC089276}" name="# of Reviews" dataDxfId="235"/>
    <tableColumn id="9" xr3:uid="{40A1A1AB-BAB1-470A-B50A-C6EE954201B7}" name="Tool Rating " dataDxfId="234"/>
    <tableColumn id="11" xr3:uid="{11AC359B-2C38-4249-8043-15C877DE80BC}" name="Column1" dataDxfId="233"/>
    <tableColumn id="10" xr3:uid="{EA6B79A0-47D6-4166-BD70-03856E796D06}" name="Link" dataDxfId="232" dataCellStyle="Hyperlink">
      <calculatedColumnFormula>HYPERLINK(J22)</calculatedColumnFormula>
    </tableColumn>
  </tableColumns>
  <tableStyleInfo name="TableStyleLight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398740C-DC90-4F42-859A-4A2A85DD4BB3}" name="Table1915" displayName="Table1915" ref="A8:K36" totalsRowShown="0" dataDxfId="230" headerRowBorderDxfId="231" tableBorderDxfId="229">
  <autoFilter ref="A8:K36" xr:uid="{0F4A96C2-3AFE-41A8-83B5-B2821344F5D7}"/>
  <tableColumns count="11">
    <tableColumn id="1" xr3:uid="{67C2B7B0-0219-475D-8D96-C79461C376D1}" name="Product Name" dataDxfId="228"/>
    <tableColumn id="2" xr3:uid="{74DA7844-8CB1-4A57-99B7-185DC56C33EF}" name="ASIN" dataDxfId="227"/>
    <tableColumn id="3" xr3:uid="{B020E12D-CDE4-4527-B889-139322B0AF28}" name="Avg Price" dataDxfId="226"/>
    <tableColumn id="4" xr3:uid="{E770F996-F0CD-44AD-A9C7-E02E7E2BE48E}" name="Estimated 12mo Revenue" dataDxfId="225"/>
    <tableColumn id="5" xr3:uid="{38CE932B-EA62-4816-AEE9-480208B6B96E}" name="Monthly Rev" dataDxfId="224"/>
    <tableColumn id="6" xr3:uid="{6677E677-1B46-41A7-813D-9146D9D838B0}" name="Estimated 12mo Units" dataDxfId="223"/>
    <tableColumn id="7" xr3:uid="{B53EDB1A-3DE6-46C3-8B01-338063710AB5}" name="Monthly Units" dataDxfId="222"/>
    <tableColumn id="8" xr3:uid="{31C31F42-2693-41D5-960A-4A06A14707B8}" name="# of Reviews" dataDxfId="221"/>
    <tableColumn id="9" xr3:uid="{9BDBDC9E-B568-4C28-8236-C8048BDDB782}" name="Tool Rating " dataDxfId="220"/>
    <tableColumn id="11" xr3:uid="{463DF4E0-D92A-43A7-9CC6-214B569EE1D0}" name="Column1" dataDxfId="219"/>
    <tableColumn id="10" xr3:uid="{F79B8C75-33E6-4401-A9EA-B1A6AD9244C8}" name="Link" dataDxfId="218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54B0289-BAC1-41A5-B5FF-7BCB71A4DFA1}" name="Table4316" displayName="Table4316" ref="A41:K69" totalsRowShown="0" headerRowDxfId="217" dataDxfId="216">
  <autoFilter ref="A41:K69" xr:uid="{C14F2DAC-4C26-4682-BF42-014924E0B654}"/>
  <tableColumns count="11">
    <tableColumn id="1" xr3:uid="{B4959A5F-121B-41D2-801D-7739287023E4}" name="Product Name" dataDxfId="215"/>
    <tableColumn id="12" xr3:uid="{8DABAC33-5BD5-427A-91B3-C68224CFBE88}" name="ASIN" dataDxfId="214"/>
    <tableColumn id="3" xr3:uid="{0D9D8C10-111F-4B9F-8B87-E3B205A14CA0}" name="Avg Price" dataDxfId="213"/>
    <tableColumn id="4" xr3:uid="{FCF2ED35-EFFD-4F8C-9EFD-28616DD01255}" name="Estimated 12mo Revenue" dataDxfId="212"/>
    <tableColumn id="5" xr3:uid="{CE292178-F4A8-400A-B282-6C0F1349DFF1}" name="Monthly Rev" dataDxfId="211"/>
    <tableColumn id="6" xr3:uid="{1BE967D8-EAC6-49E5-918A-25A76A35AD97}" name="Estimated 12mo Units" dataDxfId="210"/>
    <tableColumn id="7" xr3:uid="{CE0CA52A-A704-4E2E-B0B7-872BD727F42D}" name="Monthly Units" dataDxfId="209"/>
    <tableColumn id="8" xr3:uid="{AA57A3EF-C86E-4283-B3B9-02AC298CA0CB}" name="# of Reviews" dataDxfId="208"/>
    <tableColumn id="9" xr3:uid="{4E66D908-A24E-433D-A1A8-ED721FBBDC0A}" name="Tool Rating " dataDxfId="207"/>
    <tableColumn id="11" xr3:uid="{E20225D7-D463-42F8-B830-1A447DC45B55}" name="Column1" dataDxfId="206"/>
    <tableColumn id="10" xr3:uid="{8F09D5B7-2EDB-4B31-B973-36579052DB15}" name="Link" dataDxfId="205" dataCellStyle="Hyperlink">
      <calculatedColumnFormula>HYPERLINK(J42)</calculatedColumnFormula>
    </tableColumn>
  </tableColumns>
  <tableStyleInfo name="TableStyleLight1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E94EF04-8427-4918-B3AC-550CC47021CC}" name="Table391227" displayName="Table391227" ref="A8:K11" totalsRowShown="0" dataDxfId="203" headerRowBorderDxfId="204" tableBorderDxfId="202">
  <autoFilter ref="A8:K11" xr:uid="{88364236-2597-4E54-AB10-5B55E5D86F9F}"/>
  <tableColumns count="11">
    <tableColumn id="1" xr3:uid="{D1E37354-2FAA-412D-8C28-BA9773AB0A25}" name="Product Name" dataDxfId="201"/>
    <tableColumn id="2" xr3:uid="{DE2E356D-5905-4710-ABB4-119F160BC8E1}" name="ASIN" dataDxfId="200"/>
    <tableColumn id="3" xr3:uid="{BB52F4FB-DF6B-4AB8-B302-69663FA5FEC6}" name="Avg Price" dataDxfId="199"/>
    <tableColumn id="4" xr3:uid="{1BBBBDCB-C504-4C95-BC3F-87D719E8E2ED}" name="Estimated 12mo Revenue" dataDxfId="198"/>
    <tableColumn id="5" xr3:uid="{58867618-3D66-4291-BFA8-90FC93052A3F}" name="Monthly Rev" dataDxfId="197"/>
    <tableColumn id="6" xr3:uid="{CFB1CD9C-3F2F-4312-A409-D21500739800}" name="Estimated 12mo Units" dataDxfId="196"/>
    <tableColumn id="7" xr3:uid="{C566CC7A-106E-49C8-992B-CB376C57E8AD}" name="Monthly Units" dataDxfId="195"/>
    <tableColumn id="8" xr3:uid="{913E1342-CC1D-4D1A-9F6A-40EA9DBD40BD}" name="# of Reviews" dataDxfId="194"/>
    <tableColumn id="9" xr3:uid="{C9CB989B-3BFC-4225-81CF-B790429FF296}" name="Tool Rating " dataDxfId="193"/>
    <tableColumn id="11" xr3:uid="{E32C7F66-C95A-4CCA-BF0D-159075E74026}" name="Column1" dataDxfId="192"/>
    <tableColumn id="10" xr3:uid="{6432ED1C-64C2-4915-A932-DEA92A3908AF}" name="Link" dataDxfId="191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1530F89-E6C2-489D-BDF9-C710A63B127B}" name="Table4013614" displayName="Table4013614" ref="A16:K19" totalsRowShown="0" dataDxfId="189" headerRowBorderDxfId="190" tableBorderDxfId="188">
  <autoFilter ref="A16:K19" xr:uid="{FE5824C0-1662-4D77-B20A-F2CD92450CBD}"/>
  <tableColumns count="11">
    <tableColumn id="1" xr3:uid="{3534A4DD-171F-4CF4-8ACB-5E712150B266}" name="Product Name" dataDxfId="187"/>
    <tableColumn id="2" xr3:uid="{5B59D089-2DAA-4692-8761-2F4490343BF9}" name="ASIN" dataDxfId="186"/>
    <tableColumn id="3" xr3:uid="{14060EE9-2E99-4BBC-9091-3E1317B55CDF}" name="Avg Price" dataDxfId="185"/>
    <tableColumn id="4" xr3:uid="{1C5D2356-3F0A-4391-8233-60FF7013119B}" name="Estimated 12mo Revenue" dataDxfId="184"/>
    <tableColumn id="5" xr3:uid="{4F00882E-52CC-4E30-B602-EBF604BF5CA0}" name="Monthly Rev" dataDxfId="183"/>
    <tableColumn id="6" xr3:uid="{59935726-4971-47E6-B311-5B08D1768CAF}" name="Estimated 12mo Units" dataDxfId="182"/>
    <tableColumn id="7" xr3:uid="{199ECC11-0204-4356-B058-C04616889653}" name="Monthly Units" dataDxfId="181"/>
    <tableColumn id="8" xr3:uid="{A158E819-960B-4D53-9207-CCF60721F266}" name="# of Reviews" dataDxfId="180"/>
    <tableColumn id="9" xr3:uid="{990BBA2F-6A9F-4053-A689-06AF0EA72028}" name="Tool Rating " dataDxfId="179"/>
    <tableColumn id="11" xr3:uid="{68994DAA-4EF8-4015-A6EC-F693CF911332}" name="Column1" dataDxfId="178"/>
    <tableColumn id="10" xr3:uid="{EFDFC754-8179-4EB1-B71A-F58A87164D08}" name="Link" dataDxfId="177" dataCellStyle="Hyperlink">
      <calculatedColumnFormula>HYPERLINK(J17)</calculatedColumnFormula>
    </tableColumn>
  </tableColumns>
  <tableStyleInfo name="TableStyleLight1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09CE7A-1D56-4C04-9E27-8DA4B6E2B31C}" name="Table39122" displayName="Table39122" ref="A8:K10" totalsRowShown="0" dataDxfId="175" headerRowBorderDxfId="176" tableBorderDxfId="174">
  <autoFilter ref="A8:K10" xr:uid="{88364236-2597-4E54-AB10-5B55E5D86F9F}"/>
  <tableColumns count="11">
    <tableColumn id="1" xr3:uid="{D6E228DB-84AF-41C6-BB32-135A40F2D727}" name="Product Name" dataDxfId="173"/>
    <tableColumn id="2" xr3:uid="{3BB6809A-FE93-4385-84F4-101731E4C88A}" name="ASIN" dataDxfId="172"/>
    <tableColumn id="3" xr3:uid="{1CE37BC8-3AF1-4209-8123-28CCE1C8595C}" name="Avg Price" dataDxfId="171"/>
    <tableColumn id="4" xr3:uid="{068252A2-0179-4B5E-96D4-A08DDB2B12C1}" name="Estimated 12mo Revenue" dataDxfId="170"/>
    <tableColumn id="5" xr3:uid="{54634C20-D73F-4149-93B5-273B549E1725}" name="Monthly Rev" dataDxfId="169"/>
    <tableColumn id="6" xr3:uid="{3F314C1D-8435-4600-9717-923C1A4E42B9}" name="Estimated 12mo Units" dataDxfId="168"/>
    <tableColumn id="7" xr3:uid="{0F3D1942-2D87-486D-8120-636C17A58F2D}" name="Monthly Units" dataDxfId="167"/>
    <tableColumn id="8" xr3:uid="{BD7C8CA0-5FB8-48C6-A712-44CFD2B9AA72}" name="# of Reviews" dataDxfId="166"/>
    <tableColumn id="9" xr3:uid="{0E711657-726C-47C0-8104-377D697B7185}" name="Tool Rating " dataDxfId="165"/>
    <tableColumn id="11" xr3:uid="{FE397F3F-9235-47D2-AF0E-351E2CAA67DA}" name="Column1" dataDxfId="164"/>
    <tableColumn id="10" xr3:uid="{6549CE1B-E4B0-4D15-8AEE-FD5E8DBB6EED}" name="Link" dataDxfId="163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688C37-45FA-446C-9B30-9B753FB6BB72}" name="Table40136" displayName="Table40136" ref="A15:K17" totalsRowShown="0" dataDxfId="161" headerRowBorderDxfId="162" tableBorderDxfId="160">
  <autoFilter ref="A15:K17" xr:uid="{FE5824C0-1662-4D77-B20A-F2CD92450CBD}"/>
  <tableColumns count="11">
    <tableColumn id="1" xr3:uid="{33CC293E-B320-4CE2-9FE4-F043315FDABC}" name="Product Name" dataDxfId="159"/>
    <tableColumn id="2" xr3:uid="{330A7263-8567-42DD-AFAD-8FEFB7FDE620}" name="ASIN" dataDxfId="158"/>
    <tableColumn id="3" xr3:uid="{7202B142-2408-4BC8-A8B9-F79793710C32}" name="Avg Price" dataDxfId="157"/>
    <tableColumn id="4" xr3:uid="{BF81ED61-4079-41B3-AD60-1ACE0AB4CC9C}" name="Estimated 12mo Revenue" dataDxfId="156"/>
    <tableColumn id="5" xr3:uid="{2CB284F4-C5F7-4845-8F24-0BE5EC27C7C1}" name="Monthly Rev" dataDxfId="155"/>
    <tableColumn id="6" xr3:uid="{E2D53742-5432-4161-BCDD-6B4F18591E7D}" name="Estimated 12mo Units" dataDxfId="154"/>
    <tableColumn id="7" xr3:uid="{8B381500-DF7B-4330-9C9E-C2B88D6430AC}" name="Monthly Units" dataDxfId="153"/>
    <tableColumn id="8" xr3:uid="{52CF9A71-F5C7-48DA-AEAB-9401DEC052C5}" name="# of Reviews" dataDxfId="152"/>
    <tableColumn id="9" xr3:uid="{6C68C2FA-75E3-4E3F-B627-E04406FF8209}" name="Tool Rating " dataDxfId="151"/>
    <tableColumn id="11" xr3:uid="{4CA3AF06-4411-4080-8C27-86BB2E6AC474}" name="Column1" dataDxfId="150"/>
    <tableColumn id="10" xr3:uid="{34794B6E-71B8-4FA6-A863-D3BC3F51BCCC}" name="Link" dataDxfId="149" dataCellStyle="Hyperlink">
      <calculatedColumnFormula>HYPERLINK(J16)</calculatedColumnFormula>
    </tableColumn>
  </tableColumns>
  <tableStyleInfo name="TableStyleLight1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1787C224-87C7-46F2-A2C8-AC4F462A253E}" name="Table37" displayName="Table37" ref="A8:K9" totalsRowShown="0" dataDxfId="147" headerRowBorderDxfId="148" tableBorderDxfId="146">
  <autoFilter ref="A8:K9" xr:uid="{1787C224-87C7-46F2-A2C8-AC4F462A253E}"/>
  <tableColumns count="11">
    <tableColumn id="1" xr3:uid="{EA152EF3-3733-4FB3-B99B-21847CC2B61C}" name="Product Name" dataDxfId="145"/>
    <tableColumn id="2" xr3:uid="{17BA3DAE-0E43-418C-88FA-7CA3F3F936E5}" name="ASIN" dataDxfId="144"/>
    <tableColumn id="3" xr3:uid="{552B4C6B-C200-4CC1-BB24-6E90A523C075}" name="Avg Price" dataDxfId="143"/>
    <tableColumn id="4" xr3:uid="{2B97A85F-9BBB-46BE-BC83-786042A8A9DA}" name="Estimated 12mo Revenue" dataDxfId="142"/>
    <tableColumn id="5" xr3:uid="{3BA7A5BD-3E56-4648-9EEF-4477D2BBE502}" name="Monthly Rev" dataDxfId="141"/>
    <tableColumn id="6" xr3:uid="{47BD03D6-4AD1-4000-AF40-A4EDCB2BF030}" name="Estimated 12mo Units" dataDxfId="140"/>
    <tableColumn id="7" xr3:uid="{FAF30FD3-9975-4D21-AC34-960DD1EAF008}" name="Monthly Units" dataDxfId="139"/>
    <tableColumn id="8" xr3:uid="{0F0ABB4F-A6FF-47D3-9995-4E7C901A8B8D}" name="# of Reviews" dataDxfId="138"/>
    <tableColumn id="9" xr3:uid="{FE9617F1-96A4-4975-A0B0-063FDDBB29D9}" name="Tool Rating " dataDxfId="137"/>
    <tableColumn id="11" xr3:uid="{CC17B7ED-03CA-400C-A724-75ABC7AAFCFE}" name="Column1" dataDxfId="136"/>
    <tableColumn id="10" xr3:uid="{CB138720-9B5E-432E-8C6D-E4C61C7FE44F}" name="Link" dataDxfId="135" dataCellStyle="Hyperlink">
      <calculatedColumnFormula>HYPERLINK(M9)</calculatedColumnFormula>
    </tableColumn>
  </tableColumns>
  <tableStyleInfo name="TableStyleLight1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C4BBE32-7080-4C3F-B13D-EFCC4CE4912F}" name="Table191517" displayName="Table191517" ref="A8:K13" totalsRowShown="0" dataDxfId="133" headerRowBorderDxfId="134" tableBorderDxfId="132">
  <autoFilter ref="A8:K13" xr:uid="{0F4A96C2-3AFE-41A8-83B5-B2821344F5D7}"/>
  <tableColumns count="11">
    <tableColumn id="1" xr3:uid="{9CA31133-F031-42CF-86C8-8EE48CF3F23A}" name="Product Name" dataDxfId="131"/>
    <tableColumn id="2" xr3:uid="{15260386-4566-46B9-A5AB-859161C21527}" name="ASIN" dataDxfId="130"/>
    <tableColumn id="3" xr3:uid="{DA502597-5395-4AB4-B7B5-6CBE564B359D}" name="Avg Price" dataDxfId="129"/>
    <tableColumn id="4" xr3:uid="{4DBC392C-C314-4F94-88FD-222C1A2F976E}" name="Estimated 12mo Revenue" dataDxfId="128"/>
    <tableColumn id="5" xr3:uid="{E8E7D8C2-A73F-4CCC-977E-C405FAA4928A}" name="Monthly Rev" dataDxfId="127"/>
    <tableColumn id="6" xr3:uid="{1E3B66D9-4599-4395-A646-0B5932BCF75E}" name="Estimated 12mo Units" dataDxfId="126"/>
    <tableColumn id="7" xr3:uid="{D1538ABF-0A9C-4C8D-B3D8-C24FC5DA5AB1}" name="Monthly Units" dataDxfId="125"/>
    <tableColumn id="8" xr3:uid="{06F84DE5-11F6-428C-A2DD-6150184AF647}" name="# of Reviews" dataDxfId="124"/>
    <tableColumn id="9" xr3:uid="{B106B38C-4298-4F78-A4B7-3B10AA71D79B}" name="Tool Rating " dataDxfId="123"/>
    <tableColumn id="11" xr3:uid="{E40900AB-75F6-41F1-8DB7-237F4F464A4A}" name="Column1" dataDxfId="122"/>
    <tableColumn id="10" xr3:uid="{0C114CA8-BABF-4C2F-AFCB-6660AD0A5B8A}" name="Link" dataDxfId="121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F88C39A-CB6E-47EF-A9A1-B5B9117E66A7}" name="Table431618" displayName="Table431618" ref="A18:K23" totalsRowShown="0" headerRowDxfId="120" dataDxfId="119">
  <autoFilter ref="A18:K23" xr:uid="{C14F2DAC-4C26-4682-BF42-014924E0B654}"/>
  <tableColumns count="11">
    <tableColumn id="1" xr3:uid="{F914AB38-D063-42BF-8860-A72FA536443C}" name="Product Name" dataDxfId="118"/>
    <tableColumn id="12" xr3:uid="{7C1A3C11-94AD-4224-BD52-83713BAB85DE}" name="ASIN" dataDxfId="117"/>
    <tableColumn id="3" xr3:uid="{A791338C-7A4C-4072-8845-3B355912A8F2}" name="Avg Price" dataDxfId="116"/>
    <tableColumn id="4" xr3:uid="{649F0FAF-8435-4148-A4A5-80B5186C1BA3}" name="Estimated 12mo Revenue" dataDxfId="115"/>
    <tableColumn id="5" xr3:uid="{73DEA395-09C9-42DB-AE39-950B549AE9CE}" name="Monthly Rev" dataDxfId="114"/>
    <tableColumn id="6" xr3:uid="{B413FC5B-5D0D-42A4-82DC-023C1C4F0607}" name="Estimated 12mo Units" dataDxfId="113"/>
    <tableColumn id="7" xr3:uid="{76283AC2-25D7-4F4D-AC08-7B0D780E7414}" name="Monthly Units" dataDxfId="112"/>
    <tableColumn id="8" xr3:uid="{98B80A4F-8491-4351-BE60-00EB48769A3B}" name="# of Reviews" dataDxfId="111"/>
    <tableColumn id="9" xr3:uid="{AD071EF3-78BA-4452-86D7-85D377DF3727}" name="Tool Rating " dataDxfId="110"/>
    <tableColumn id="11" xr3:uid="{00F06AF4-8270-4B2B-B202-B04372429735}" name="Column1" dataDxfId="109"/>
    <tableColumn id="10" xr3:uid="{BE51943D-9F25-4727-A633-291F41BE889D}" name="Link" dataDxfId="108" dataCellStyle="Hyperlink">
      <calculatedColumnFormula>HYPERLINK(J19)</calculatedColumnFormula>
    </tableColumn>
  </tableColumns>
  <tableStyleInfo name="TableStyleLight1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80642A-5F1A-49CF-A9B2-FC7FD380B74D}" name="Table3" displayName="Table3" ref="A8:K14" headerRowDxfId="107" dataDxfId="106" totalsRowDxfId="105">
  <autoFilter ref="A8:K14" xr:uid="{C680642A-5F1A-49CF-A9B2-FC7FD380B74D}"/>
  <tableColumns count="11">
    <tableColumn id="1" xr3:uid="{EF6F3723-2571-4654-88E5-A25D6D8AD20A}" name="Product Name" totalsRowLabel="Total" dataDxfId="104" totalsRowDxfId="103"/>
    <tableColumn id="12" xr3:uid="{9CCC5DE6-372C-4C55-B57B-3B0E96AAD4E0}" name="ASIN" dataDxfId="102"/>
    <tableColumn id="3" xr3:uid="{4F08F926-9C78-4B8A-B6D9-0F945A40C763}" name="Avg Price" dataDxfId="101" totalsRowDxfId="100"/>
    <tableColumn id="4" xr3:uid="{30E08E9D-DA85-463A-AFF7-1E0FE9A33538}" name="Estimated 12mo Revenue" dataDxfId="99" totalsRowDxfId="98"/>
    <tableColumn id="5" xr3:uid="{FDC2DEB8-2829-4EAE-8F8D-DBDBB84F13CA}" name="Monthly Rev" dataDxfId="97" totalsRowDxfId="96"/>
    <tableColumn id="6" xr3:uid="{D8BC7677-A58F-4502-AABA-538E03CEBE9D}" name="Estimated 12mo Units" dataDxfId="95" totalsRowDxfId="94"/>
    <tableColumn id="7" xr3:uid="{51E30D3E-468B-4033-B06A-C06DC7DEE9AE}" name="Monthly Units" dataDxfId="93" totalsRowDxfId="92"/>
    <tableColumn id="8" xr3:uid="{1E530168-F850-4C76-8697-9E578A3AB27E}" name="# of Reviews" dataDxfId="91" totalsRowDxfId="90"/>
    <tableColumn id="9" xr3:uid="{3035D287-954F-4588-A2D1-6F1066B2F876}" name="Tool Rating " dataDxfId="89" totalsRowDxfId="88"/>
    <tableColumn id="11" xr3:uid="{9AB02F12-E08F-4C0F-AFD9-A8629E0EEF02}" name="Column1" dataDxfId="87" totalsRowDxfId="86"/>
    <tableColumn id="10" xr3:uid="{344498A7-B0F3-48D1-864C-B984665E3608}" name="Link" totalsRowFunction="count" dataDxfId="85" totalsRowDxfId="84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EE2DEE-EC23-49FB-80B8-33BD69F70FDA}" name="Table4" displayName="Table4" ref="A19:K25" totalsRowShown="0" headerRowDxfId="83" dataDxfId="82">
  <autoFilter ref="A19:K25" xr:uid="{8BEE2DEE-EC23-49FB-80B8-33BD69F70FDA}"/>
  <tableColumns count="11">
    <tableColumn id="1" xr3:uid="{748946F1-3951-491D-95E7-12F3DE748F8B}" name="Product Name" dataDxfId="81"/>
    <tableColumn id="12" xr3:uid="{81E091BF-656E-441E-B33C-95916E3BFA75}" name="ASIN" dataDxfId="80"/>
    <tableColumn id="3" xr3:uid="{6E5C7F02-27D3-4EE9-AE47-65A813235485}" name="Avg Price" dataDxfId="79"/>
    <tableColumn id="4" xr3:uid="{B640E744-C6AF-45D4-8496-AEA1A4948411}" name="Estimated 12mo Revenue" dataDxfId="78"/>
    <tableColumn id="5" xr3:uid="{04433A13-540E-4E9B-87EB-1571B0C5F304}" name="Monthly Rev" dataDxfId="77"/>
    <tableColumn id="6" xr3:uid="{A740CCE4-A9EB-49A8-9743-F4E943F187ED}" name="Estimated 12mo Units" dataDxfId="76"/>
    <tableColumn id="7" xr3:uid="{3D6DB9E3-C7D0-4072-B033-E954B8644F6D}" name="Monthly Units" dataDxfId="75"/>
    <tableColumn id="8" xr3:uid="{8F49DF4E-1BBA-446E-9E9C-160793ECE21D}" name="# of Reviews" dataDxfId="74"/>
    <tableColumn id="9" xr3:uid="{23576E82-CED8-4E55-95AE-36F1C6C92BCF}" name="Tool Rating " dataDxfId="73"/>
    <tableColumn id="11" xr3:uid="{506303EA-4AB2-45F3-8D1F-B733E0D385CA}" name="Column1" dataDxfId="72"/>
    <tableColumn id="10" xr3:uid="{EAA31DFA-D23C-4684-BB75-9470A1E51DB1}" name="Link" dataDxfId="71" dataCellStyle="Hyperlink">
      <calculatedColumnFormula>HYPERLINK(J20)</calculatedColumnFormula>
    </tableColumn>
  </tableColumns>
  <tableStyleInfo name="TableStyleLight1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24075F7-AD59-4242-81F7-8B44C8B67C92}" name="Table19151719" displayName="Table19151719" ref="A8:K46" totalsRowShown="0" dataDxfId="69" headerRowBorderDxfId="70" tableBorderDxfId="68">
  <autoFilter ref="A8:K46" xr:uid="{0F4A96C2-3AFE-41A8-83B5-B2821344F5D7}"/>
  <tableColumns count="11">
    <tableColumn id="1" xr3:uid="{6235006B-98AB-414C-8F91-E364841E9A3F}" name="Product Name" dataDxfId="67"/>
    <tableColumn id="2" xr3:uid="{8287EA29-8DE5-4578-AB3A-69536D246D24}" name="ASIN" dataDxfId="66"/>
    <tableColumn id="3" xr3:uid="{2E3A0918-44EB-4343-B2C8-03AE2B7B55C4}" name="Avg Price" dataDxfId="65"/>
    <tableColumn id="4" xr3:uid="{3B2715E2-85E1-426D-A9B5-16B704C43837}" name="Estimated 12mo Revenue" dataDxfId="64"/>
    <tableColumn id="5" xr3:uid="{36E239CD-3764-4FC8-BA4E-C99C6464A419}" name="Monthly Rev" dataDxfId="63"/>
    <tableColumn id="6" xr3:uid="{AA3A41EA-8B19-4EA8-8B3B-8E44BF564E9B}" name="Estimated 12mo Units" dataDxfId="62"/>
    <tableColumn id="7" xr3:uid="{AA687EBE-3F19-46FB-BEB5-B5D90891C801}" name="Monthly Units" dataDxfId="61"/>
    <tableColumn id="8" xr3:uid="{4CDDF752-3074-4FE2-8554-372DEFF565C0}" name="# of Reviews" dataDxfId="60"/>
    <tableColumn id="9" xr3:uid="{7A2167DE-4AC6-463D-9ABF-C51322B917F9}" name="Tool Rating " dataDxfId="59"/>
    <tableColumn id="11" xr3:uid="{5A4153F1-54CD-4CE0-9771-F330FC0FA146}" name="Column1" dataDxfId="58"/>
    <tableColumn id="10" xr3:uid="{EAC4C0D9-8610-45A0-8E1B-A0A1E1E39D2C}" name="Link" dataDxfId="57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A603035-1AF7-4E58-9E57-3BE55EC1B14A}" name="Table43161821" displayName="Table43161821" ref="A51:K89" totalsRowShown="0" headerRowDxfId="56" dataDxfId="55">
  <autoFilter ref="A51:K89" xr:uid="{C14F2DAC-4C26-4682-BF42-014924E0B654}"/>
  <tableColumns count="11">
    <tableColumn id="1" xr3:uid="{364FD270-488C-48EF-8C10-29D0C608A6EE}" name="Product Name" dataDxfId="54"/>
    <tableColumn id="12" xr3:uid="{832D9EA4-5676-4EC2-A899-F0B9D647DAF2}" name="ASIN" dataDxfId="53"/>
    <tableColumn id="3" xr3:uid="{96073BBB-27A9-4068-9C6F-E8CA26734092}" name="Avg Price" dataDxfId="52"/>
    <tableColumn id="4" xr3:uid="{62335831-B5F3-4703-B3BB-092687106552}" name="Estimated 12mo Revenue" dataDxfId="51"/>
    <tableColumn id="5" xr3:uid="{CBEFF2A4-BBBF-4774-8E84-BA0187440D68}" name="Monthly Rev" dataDxfId="50"/>
    <tableColumn id="6" xr3:uid="{793534A1-2934-41E2-A118-BD61023789DD}" name="Estimated 12mo Units" dataDxfId="49"/>
    <tableColumn id="7" xr3:uid="{9B6D359F-30B5-4E96-B3C7-ABE1E9096615}" name="Monthly Units" dataDxfId="48"/>
    <tableColumn id="8" xr3:uid="{2193B2F2-0567-46A9-92D4-CD599A89C31D}" name="# of Reviews" dataDxfId="47"/>
    <tableColumn id="9" xr3:uid="{AC1B315D-3EFC-4EB5-9B31-E69CB0A5F721}" name="Tool Rating " dataDxfId="46"/>
    <tableColumn id="11" xr3:uid="{7D91CC4D-50C8-4CD6-8F8E-44C8E887F457}" name="Column1" dataDxfId="45"/>
    <tableColumn id="10" xr3:uid="{880E1F22-620C-46CF-8CC6-993AD1B0C792}" name="Link" dataDxfId="44" dataCellStyle="Hyperlink">
      <calculatedColumnFormula>HYPERLINK(J52)</calculatedColumnFormula>
    </tableColumn>
  </tableColumns>
  <tableStyleInfo name="TableStyleLight1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0CEFEAD-57D0-49DB-BF2A-0E6A5A8FC432}" name="Table3724" displayName="Table3724" ref="A8:K9" totalsRowShown="0" dataDxfId="42" headerRowBorderDxfId="43" tableBorderDxfId="41">
  <autoFilter ref="A8:K9" xr:uid="{1787C224-87C7-46F2-A2C8-AC4F462A253E}"/>
  <tableColumns count="11">
    <tableColumn id="1" xr3:uid="{F1A09A13-9B13-41CE-B5EB-A69ADE2E1CDC}" name="Product Name" dataDxfId="40"/>
    <tableColumn id="2" xr3:uid="{B7DB9322-9D2E-4EA2-B705-35B564A54107}" name="ASIN" dataDxfId="39"/>
    <tableColumn id="3" xr3:uid="{38BF3D57-2E27-4CEA-B645-BEA29D3F2871}" name="Avg Price" dataDxfId="38"/>
    <tableColumn id="4" xr3:uid="{3209CB20-BCB1-4AD7-84C9-35EA041ECED2}" name="Estimated 12mo Revenue" dataDxfId="37"/>
    <tableColumn id="5" xr3:uid="{E2A6149C-0ED7-42E3-A7F1-CE3F02775BB1}" name="Monthly Rev" dataDxfId="36"/>
    <tableColumn id="6" xr3:uid="{81940A91-25C6-4203-9212-CF43ABEC515C}" name="Estimated 12mo Units" dataDxfId="35"/>
    <tableColumn id="7" xr3:uid="{7DB0C412-78BA-43A4-89D0-B45A50D3005E}" name="Monthly Units" dataDxfId="34"/>
    <tableColumn id="8" xr3:uid="{052BED2D-D7DC-4D21-891D-1B442ECF2E78}" name="# of Reviews" dataDxfId="33"/>
    <tableColumn id="9" xr3:uid="{CE151BA1-EF30-47A5-8C1B-EBAFE22742B4}" name="Tool Rating " dataDxfId="32"/>
    <tableColumn id="11" xr3:uid="{3555C904-3FA5-438E-95B2-38B9326067AE}" name="Column1" dataDxfId="31"/>
    <tableColumn id="10" xr3:uid="{F8C27B8D-D39E-455B-9063-2BF30187D1F1}" name="Link" dataDxfId="30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7428483-D24B-430F-91AA-43D6D1E8B1E5}" name="Table3912" displayName="Table3912" ref="A8:K10" totalsRowShown="0" dataDxfId="28" headerRowBorderDxfId="29" tableBorderDxfId="27">
  <autoFilter ref="A8:K10" xr:uid="{88364236-2597-4E54-AB10-5B55E5D86F9F}"/>
  <tableColumns count="11">
    <tableColumn id="1" xr3:uid="{B5546841-1827-43AF-9780-A5DBA722193D}" name="Product Name" dataDxfId="26"/>
    <tableColumn id="2" xr3:uid="{51799C82-4027-43C3-B48D-AE56FD6A9CBD}" name="ASIN" dataDxfId="25"/>
    <tableColumn id="3" xr3:uid="{762C5216-8D26-4E0C-ADC8-57B07C1FF479}" name="Avg Price" dataDxfId="24"/>
    <tableColumn id="4" xr3:uid="{A748EA27-CD1A-44E6-9066-7744B28833AA}" name="Estimated 12mo Revenue" dataDxfId="23"/>
    <tableColumn id="5" xr3:uid="{19D88CAD-3073-4BBD-8E37-63144AFD5559}" name="Monthly Rev" dataDxfId="22"/>
    <tableColumn id="6" xr3:uid="{1AE2FB38-B0F3-497B-8B37-F02D9467023B}" name="Estimated 12mo Units" dataDxfId="21"/>
    <tableColumn id="7" xr3:uid="{369211BF-D40E-4001-BFA6-A9DF034509FF}" name="Monthly Units" dataDxfId="20"/>
    <tableColumn id="8" xr3:uid="{759C7DA0-3585-429F-A84C-956F25552885}" name="# of Reviews" dataDxfId="19"/>
    <tableColumn id="9" xr3:uid="{F61A1580-FFA1-4B4A-B644-CB06DE0E5E5A}" name="Tool Rating " dataDxfId="18"/>
    <tableColumn id="11" xr3:uid="{5D6ADF06-6B28-4918-B36B-FB98D7A7A552}" name="Column1" dataDxfId="17"/>
    <tableColumn id="10" xr3:uid="{6DD93343-D5A8-4016-AECD-097D01B0F823}" name="Link" dataDxfId="16" dataCellStyle="Hyperlink">
      <calculatedColumnFormula>HYPERLINK(J9)</calculatedColumnFormula>
    </tableColumn>
  </tableColumns>
  <tableStyleInfo name="TableStyleLight1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B0509D4-5429-4E22-AFEF-354D492AF342}" name="Table4013" displayName="Table4013" ref="A15:K17" totalsRowShown="0" dataDxfId="14" headerRowBorderDxfId="15" tableBorderDxfId="13">
  <autoFilter ref="A15:K17" xr:uid="{FE5824C0-1662-4D77-B20A-F2CD92450CBD}"/>
  <tableColumns count="11">
    <tableColumn id="1" xr3:uid="{3C3FB2CD-A9D5-47AB-B138-4C4BBE372FAF}" name="Product Name" dataDxfId="12"/>
    <tableColumn id="2" xr3:uid="{54711267-C6E5-4CE9-A4C6-7BE62ECD23E2}" name="ASIN" dataDxfId="11"/>
    <tableColumn id="3" xr3:uid="{B1EED3FB-A8C0-412C-BDD2-675764CA3AD6}" name="Avg Price" dataDxfId="10"/>
    <tableColumn id="4" xr3:uid="{E23C6E0C-54FB-4A9E-B0EF-0AD42A5B80F5}" name="Estimated 12mo Revenue" dataDxfId="9"/>
    <tableColumn id="5" xr3:uid="{B3BD9878-D8FA-4D26-A8D7-C2D4E3DA8891}" name="Monthly Rev" dataDxfId="8"/>
    <tableColumn id="6" xr3:uid="{6CA20A4D-A0E6-412E-BE11-AA70272401BB}" name="Estimated 12mo Units" dataDxfId="7"/>
    <tableColumn id="7" xr3:uid="{4FEFF81A-171F-4AF3-9F13-F30CA5414EE1}" name="Monthly Units" dataDxfId="6"/>
    <tableColumn id="8" xr3:uid="{D4FBD3A3-95BC-4BDE-9148-72ED50633405}" name="# of Reviews" dataDxfId="5"/>
    <tableColumn id="9" xr3:uid="{C33AF045-8C43-4E89-8715-8337FCC727A4}" name="Tool Rating " dataDxfId="4"/>
    <tableColumn id="11" xr3:uid="{0FB3865E-2A6D-4EFF-ACE4-BE6EFE332E69}" name="Column1" dataDxfId="3"/>
    <tableColumn id="10" xr3:uid="{B3B9BED5-53DD-4C23-925A-86B1D8DBA9A6}" name="Link" dataDxfId="2" dataCellStyle="Hyperlink">
      <calculatedColumnFormula>HYPERLINK(J16)</calculatedColumnFormula>
    </tableColumn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7S7H86Z1" TargetMode="Externa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7S7H86Z1" TargetMode="External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7S7H86Z1" TargetMode="External"/><Relationship Id="rId4" Type="http://schemas.openxmlformats.org/officeDocument/2006/relationships/table" Target="../tables/table15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amazon.com/dp/B0C5M8SRQ8" TargetMode="External"/><Relationship Id="rId3" Type="http://schemas.openxmlformats.org/officeDocument/2006/relationships/hyperlink" Target="https://amazon.com/dp/B07S7H86Z1" TargetMode="External"/><Relationship Id="rId7" Type="http://schemas.openxmlformats.org/officeDocument/2006/relationships/hyperlink" Target="https://amazon.com/dp/B0C4FBM6GV" TargetMode="Externa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7S7H86Z1" TargetMode="External"/><Relationship Id="rId6" Type="http://schemas.openxmlformats.org/officeDocument/2006/relationships/hyperlink" Target="https://amazon.com/dp/B0CXHYT8H8" TargetMode="External"/><Relationship Id="rId5" Type="http://schemas.openxmlformats.org/officeDocument/2006/relationships/hyperlink" Target="https://amazon.com/dp/B0CFF8Z1NF" TargetMode="External"/><Relationship Id="rId10" Type="http://schemas.openxmlformats.org/officeDocument/2006/relationships/table" Target="../tables/table17.xml"/><Relationship Id="rId4" Type="http://schemas.openxmlformats.org/officeDocument/2006/relationships/hyperlink" Target="https://amazon.com/dp/B07S7H86Z1" TargetMode="External"/><Relationship Id="rId9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hyperlink" Target="https://amazon.com/dp/B07S7H86Z1" TargetMode="External"/><Relationship Id="rId1" Type="http://schemas.openxmlformats.org/officeDocument/2006/relationships/hyperlink" Target="https://amazon.com/dp/B07S7H86Z1" TargetMode="External"/><Relationship Id="rId4" Type="http://schemas.openxmlformats.org/officeDocument/2006/relationships/table" Target="../tables/table1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FB72-3955-5D44-95BB-F844E3D24190}">
  <sheetPr codeName="Sheet1"/>
  <dimension ref="A1:I30"/>
  <sheetViews>
    <sheetView zoomScaleNormal="100" workbookViewId="0">
      <selection activeCell="C14" sqref="C14"/>
    </sheetView>
  </sheetViews>
  <sheetFormatPr defaultColWidth="11.09765625" defaultRowHeight="15.6" x14ac:dyDescent="0.6"/>
  <cols>
    <col min="1" max="2" width="15.34765625" customWidth="1"/>
    <col min="3" max="3" width="17.59765625" customWidth="1"/>
    <col min="4" max="4" width="23.59765625" customWidth="1"/>
    <col min="5" max="5" width="20.84765625" style="23" customWidth="1"/>
    <col min="6" max="6" width="25.34765625" bestFit="1" customWidth="1"/>
    <col min="7" max="7" width="19.84765625" customWidth="1"/>
    <col min="8" max="9" width="15.34765625" customWidth="1"/>
  </cols>
  <sheetData>
    <row r="1" spans="1:9" ht="26.1" x14ac:dyDescent="0.85">
      <c r="A1" s="105" t="s">
        <v>30</v>
      </c>
      <c r="B1" s="106"/>
      <c r="C1" s="106"/>
      <c r="D1" s="106"/>
      <c r="E1" s="106"/>
      <c r="F1" s="106"/>
      <c r="G1" s="106"/>
      <c r="H1" s="106"/>
      <c r="I1" s="106"/>
    </row>
    <row r="2" spans="1:9" x14ac:dyDescent="0.6">
      <c r="A2" s="1" t="s">
        <v>0</v>
      </c>
      <c r="B2" s="2" t="s">
        <v>1</v>
      </c>
      <c r="C2" s="3" t="s">
        <v>28</v>
      </c>
      <c r="D2" s="20" t="s">
        <v>2</v>
      </c>
      <c r="E2" s="25" t="s">
        <v>29</v>
      </c>
      <c r="F2" s="2" t="s">
        <v>26</v>
      </c>
      <c r="G2" s="2" t="s">
        <v>22</v>
      </c>
      <c r="H2" s="2" t="s">
        <v>3</v>
      </c>
      <c r="I2" s="4" t="s">
        <v>4</v>
      </c>
    </row>
    <row r="3" spans="1:9" x14ac:dyDescent="0.6">
      <c r="A3" s="74" t="s">
        <v>34</v>
      </c>
      <c r="B3" s="75">
        <v>38</v>
      </c>
      <c r="C3" s="76">
        <v>732750.73</v>
      </c>
      <c r="D3" s="77">
        <v>8793008.7599999998</v>
      </c>
      <c r="E3" s="78">
        <v>7511</v>
      </c>
      <c r="F3" s="79">
        <v>0.1827</v>
      </c>
      <c r="G3" s="80">
        <v>97.56</v>
      </c>
      <c r="H3" s="78">
        <v>26364</v>
      </c>
      <c r="I3" s="81">
        <v>4.4000000000000004</v>
      </c>
    </row>
    <row r="4" spans="1:9" x14ac:dyDescent="0.6">
      <c r="A4" s="74" t="s">
        <v>35</v>
      </c>
      <c r="B4" s="75">
        <v>28</v>
      </c>
      <c r="C4" s="76">
        <v>716858.49</v>
      </c>
      <c r="D4" s="77">
        <v>8602301.879999999</v>
      </c>
      <c r="E4" s="78">
        <v>8951</v>
      </c>
      <c r="F4" s="79">
        <v>0.1787</v>
      </c>
      <c r="G4" s="80">
        <v>80.09</v>
      </c>
      <c r="H4" s="78">
        <v>51524</v>
      </c>
      <c r="I4" s="81">
        <v>4.5</v>
      </c>
    </row>
    <row r="5" spans="1:9" x14ac:dyDescent="0.6">
      <c r="A5" s="74" t="s">
        <v>36</v>
      </c>
      <c r="B5" s="75">
        <v>3</v>
      </c>
      <c r="C5" s="76">
        <v>262983.69</v>
      </c>
      <c r="D5" s="77">
        <v>3155804.28</v>
      </c>
      <c r="E5" s="78">
        <v>1836</v>
      </c>
      <c r="F5" s="79">
        <v>6.5600000000000006E-2</v>
      </c>
      <c r="G5" s="80">
        <v>143.24</v>
      </c>
      <c r="H5" s="78">
        <v>1104</v>
      </c>
      <c r="I5" s="81">
        <v>4.5</v>
      </c>
    </row>
    <row r="6" spans="1:9" x14ac:dyDescent="0.6">
      <c r="A6" s="74" t="s">
        <v>37</v>
      </c>
      <c r="B6" s="75">
        <v>6</v>
      </c>
      <c r="C6" s="76">
        <v>189692.89</v>
      </c>
      <c r="D6" s="77">
        <v>2276314.6800000002</v>
      </c>
      <c r="E6" s="78">
        <v>4867</v>
      </c>
      <c r="F6" s="79">
        <v>4.7300000000000002E-2</v>
      </c>
      <c r="G6" s="80">
        <v>38.979999999999997</v>
      </c>
      <c r="H6" s="78">
        <v>4745</v>
      </c>
      <c r="I6" s="81">
        <v>4.2</v>
      </c>
    </row>
    <row r="7" spans="1:9" x14ac:dyDescent="0.6">
      <c r="A7" s="74" t="s">
        <v>38</v>
      </c>
      <c r="B7" s="75">
        <v>8</v>
      </c>
      <c r="C7" s="76">
        <v>182592.49</v>
      </c>
      <c r="D7" s="77">
        <v>2191109.88</v>
      </c>
      <c r="E7" s="78">
        <v>4817</v>
      </c>
      <c r="F7" s="79">
        <v>4.5499999999999999E-2</v>
      </c>
      <c r="G7" s="80">
        <v>37.909999999999997</v>
      </c>
      <c r="H7" s="78">
        <v>6610</v>
      </c>
      <c r="I7" s="81">
        <v>4.3</v>
      </c>
    </row>
    <row r="8" spans="1:9" x14ac:dyDescent="0.6">
      <c r="A8" s="74" t="s">
        <v>238</v>
      </c>
      <c r="B8" s="75">
        <v>5</v>
      </c>
      <c r="C8" s="76">
        <v>176338.5</v>
      </c>
      <c r="D8" s="77">
        <v>2116062</v>
      </c>
      <c r="E8" s="78">
        <v>6150</v>
      </c>
      <c r="F8" s="79">
        <v>4.3999999999999997E-2</v>
      </c>
      <c r="G8" s="80">
        <v>28.67</v>
      </c>
      <c r="H8" s="78">
        <v>11599</v>
      </c>
      <c r="I8" s="81">
        <v>4.4000000000000004</v>
      </c>
    </row>
    <row r="9" spans="1:9" x14ac:dyDescent="0.6">
      <c r="A9" s="82" t="s">
        <v>39</v>
      </c>
      <c r="B9" s="75">
        <v>2</v>
      </c>
      <c r="C9" s="76">
        <v>129193</v>
      </c>
      <c r="D9" s="77">
        <v>1550316</v>
      </c>
      <c r="E9" s="78">
        <v>914</v>
      </c>
      <c r="F9" s="79">
        <v>3.2199999999999999E-2</v>
      </c>
      <c r="G9" s="80">
        <v>141.35</v>
      </c>
      <c r="H9" s="78">
        <v>297</v>
      </c>
      <c r="I9" s="81">
        <v>4.7</v>
      </c>
    </row>
    <row r="10" spans="1:9" x14ac:dyDescent="0.6">
      <c r="A10" s="74" t="s">
        <v>40</v>
      </c>
      <c r="B10" s="75">
        <v>2</v>
      </c>
      <c r="C10" s="76">
        <v>125293.46</v>
      </c>
      <c r="D10" s="77">
        <v>1503521.52</v>
      </c>
      <c r="E10" s="78">
        <v>3343</v>
      </c>
      <c r="F10" s="79">
        <v>3.1199999999999999E-2</v>
      </c>
      <c r="G10" s="80">
        <v>37.479999999999997</v>
      </c>
      <c r="H10" s="78">
        <v>734</v>
      </c>
      <c r="I10" s="81">
        <v>4.5999999999999996</v>
      </c>
    </row>
    <row r="11" spans="1:9" x14ac:dyDescent="0.6">
      <c r="A11" s="74" t="s">
        <v>41</v>
      </c>
      <c r="B11" s="75">
        <v>1</v>
      </c>
      <c r="C11" s="76">
        <v>109263.61</v>
      </c>
      <c r="D11" s="77">
        <v>1311163.32</v>
      </c>
      <c r="E11" s="78">
        <v>841</v>
      </c>
      <c r="F11" s="79">
        <v>2.7199999999999998E-2</v>
      </c>
      <c r="G11" s="80">
        <v>129.91999999999999</v>
      </c>
      <c r="H11" s="78">
        <v>102</v>
      </c>
      <c r="I11" s="81">
        <v>4.7</v>
      </c>
    </row>
    <row r="12" spans="1:9" x14ac:dyDescent="0.6">
      <c r="A12" s="74" t="s">
        <v>42</v>
      </c>
      <c r="B12" s="75">
        <v>1</v>
      </c>
      <c r="C12" s="76">
        <v>100789.81</v>
      </c>
      <c r="D12" s="77">
        <v>1209477.72</v>
      </c>
      <c r="E12" s="78">
        <v>840</v>
      </c>
      <c r="F12" s="79">
        <v>2.5100000000000001E-2</v>
      </c>
      <c r="G12" s="80">
        <v>119.99</v>
      </c>
      <c r="H12" s="78">
        <v>152</v>
      </c>
      <c r="I12" s="81">
        <v>4.3</v>
      </c>
    </row>
    <row r="13" spans="1:9" ht="15.9" thickBot="1" x14ac:dyDescent="0.65">
      <c r="C13" s="6"/>
      <c r="D13" s="21"/>
      <c r="F13" s="7"/>
      <c r="G13" s="7"/>
      <c r="I13" s="8"/>
    </row>
    <row r="14" spans="1:9" ht="16.2" thickTop="1" thickBot="1" x14ac:dyDescent="0.65">
      <c r="A14" s="9" t="s">
        <v>5</v>
      </c>
      <c r="B14" s="10">
        <f>SUM(B2:B12)</f>
        <v>94</v>
      </c>
      <c r="C14" s="11">
        <f>SUM(C3:C12)</f>
        <v>2725756.67</v>
      </c>
      <c r="D14" s="22">
        <f>SUM(D3:D12)</f>
        <v>32709080.039999999</v>
      </c>
      <c r="E14" s="13">
        <f>SUM(E3:E12)</f>
        <v>40070</v>
      </c>
      <c r="F14" s="12">
        <f>SUM(F3:F12)</f>
        <v>0.6795000000000001</v>
      </c>
      <c r="G14" s="27">
        <f>AVERAGE(G3:G12)</f>
        <v>85.518999999999991</v>
      </c>
      <c r="H14" s="13">
        <f>SUM(H3:H12)</f>
        <v>103231</v>
      </c>
      <c r="I14" s="14">
        <f>AVERAGE(I3:I12)</f>
        <v>4.46</v>
      </c>
    </row>
    <row r="15" spans="1:9" ht="15.9" thickTop="1" x14ac:dyDescent="0.6">
      <c r="A15" s="9" t="s">
        <v>33</v>
      </c>
      <c r="B15" s="10">
        <v>804</v>
      </c>
      <c r="C15" s="11">
        <v>4011200.03</v>
      </c>
      <c r="D15" s="22"/>
      <c r="E15" s="13">
        <v>73568</v>
      </c>
      <c r="F15" s="12"/>
      <c r="G15" s="27">
        <f>C15/E15</f>
        <v>54.523706366898651</v>
      </c>
      <c r="H15" s="13">
        <v>225998</v>
      </c>
      <c r="I15" s="14">
        <v>4.1498338870431803</v>
      </c>
    </row>
    <row r="17" spans="1:9" ht="26.1" x14ac:dyDescent="0.85">
      <c r="A17" s="105" t="s">
        <v>21</v>
      </c>
      <c r="B17" s="106"/>
      <c r="C17" s="106"/>
      <c r="D17" s="106"/>
      <c r="E17" s="106"/>
      <c r="F17" s="106"/>
      <c r="G17" s="106"/>
      <c r="H17" s="106"/>
      <c r="I17" s="106"/>
    </row>
    <row r="18" spans="1:9" x14ac:dyDescent="0.6">
      <c r="A18" s="1" t="s">
        <v>0</v>
      </c>
      <c r="B18" s="2" t="s">
        <v>1</v>
      </c>
      <c r="C18" s="3" t="s">
        <v>28</v>
      </c>
      <c r="D18" s="24" t="s">
        <v>14</v>
      </c>
      <c r="E18" s="25" t="s">
        <v>29</v>
      </c>
      <c r="F18" s="2" t="s">
        <v>27</v>
      </c>
      <c r="G18" s="2" t="s">
        <v>22</v>
      </c>
      <c r="H18" s="2" t="s">
        <v>20</v>
      </c>
      <c r="I18" s="4" t="s">
        <v>4</v>
      </c>
    </row>
    <row r="19" spans="1:9" x14ac:dyDescent="0.6">
      <c r="A19" s="74" t="s">
        <v>35</v>
      </c>
      <c r="B19" s="75">
        <v>28</v>
      </c>
      <c r="C19" s="76">
        <v>716858.49</v>
      </c>
      <c r="D19" s="83">
        <v>107412</v>
      </c>
      <c r="E19" s="78">
        <v>8951</v>
      </c>
      <c r="F19" s="79">
        <v>0.1217</v>
      </c>
      <c r="G19" s="80">
        <v>80.09</v>
      </c>
      <c r="H19" s="78">
        <v>51524</v>
      </c>
      <c r="I19" s="81">
        <v>4.5</v>
      </c>
    </row>
    <row r="20" spans="1:9" x14ac:dyDescent="0.6">
      <c r="A20" s="74" t="s">
        <v>34</v>
      </c>
      <c r="B20" s="75">
        <v>38</v>
      </c>
      <c r="C20" s="76">
        <v>732750.73</v>
      </c>
      <c r="D20" s="83">
        <v>90132</v>
      </c>
      <c r="E20" s="78">
        <v>7511</v>
      </c>
      <c r="F20" s="79">
        <v>0.1021</v>
      </c>
      <c r="G20" s="80">
        <v>97.56</v>
      </c>
      <c r="H20" s="78">
        <v>26364</v>
      </c>
      <c r="I20" s="81">
        <v>4.4000000000000004</v>
      </c>
    </row>
    <row r="21" spans="1:9" x14ac:dyDescent="0.6">
      <c r="A21" s="74" t="s">
        <v>238</v>
      </c>
      <c r="B21" s="75">
        <v>5</v>
      </c>
      <c r="C21" s="76">
        <v>176338.5</v>
      </c>
      <c r="D21" s="83">
        <v>73800</v>
      </c>
      <c r="E21" s="78">
        <v>6150</v>
      </c>
      <c r="F21" s="79">
        <v>8.3599999999999994E-2</v>
      </c>
      <c r="G21" s="80">
        <v>28.67</v>
      </c>
      <c r="H21" s="78">
        <v>11599</v>
      </c>
      <c r="I21" s="81">
        <v>4.4000000000000004</v>
      </c>
    </row>
    <row r="22" spans="1:9" x14ac:dyDescent="0.6">
      <c r="A22" s="74" t="s">
        <v>37</v>
      </c>
      <c r="B22" s="75">
        <v>6</v>
      </c>
      <c r="C22" s="76">
        <v>189692.89</v>
      </c>
      <c r="D22" s="83">
        <v>58404</v>
      </c>
      <c r="E22" s="78">
        <v>4867</v>
      </c>
      <c r="F22" s="79">
        <v>6.6199999999999995E-2</v>
      </c>
      <c r="G22" s="80">
        <v>38.979999999999997</v>
      </c>
      <c r="H22" s="78">
        <v>4745</v>
      </c>
      <c r="I22" s="81">
        <v>4.2</v>
      </c>
    </row>
    <row r="23" spans="1:9" x14ac:dyDescent="0.6">
      <c r="A23" s="74" t="s">
        <v>38</v>
      </c>
      <c r="B23" s="75">
        <v>8</v>
      </c>
      <c r="C23" s="76">
        <v>182592.49</v>
      </c>
      <c r="D23" s="83">
        <v>57804</v>
      </c>
      <c r="E23" s="78">
        <v>4817</v>
      </c>
      <c r="F23" s="79">
        <v>6.5500000000000003E-2</v>
      </c>
      <c r="G23" s="80">
        <v>37.909999999999997</v>
      </c>
      <c r="H23" s="78">
        <v>6610</v>
      </c>
      <c r="I23" s="81">
        <v>4.3</v>
      </c>
    </row>
    <row r="24" spans="1:9" x14ac:dyDescent="0.6">
      <c r="A24" s="74" t="s">
        <v>40</v>
      </c>
      <c r="B24" s="75">
        <v>2</v>
      </c>
      <c r="C24" s="76">
        <v>125293.46</v>
      </c>
      <c r="D24" s="83">
        <v>40116</v>
      </c>
      <c r="E24" s="78">
        <v>3343</v>
      </c>
      <c r="F24" s="79">
        <v>4.5400000000000003E-2</v>
      </c>
      <c r="G24" s="80">
        <v>37.479999999999997</v>
      </c>
      <c r="H24" s="78">
        <v>734</v>
      </c>
      <c r="I24" s="81">
        <v>4.5999999999999996</v>
      </c>
    </row>
    <row r="25" spans="1:9" x14ac:dyDescent="0.6">
      <c r="A25" s="82" t="s">
        <v>44</v>
      </c>
      <c r="B25" s="75">
        <v>4</v>
      </c>
      <c r="C25" s="76">
        <v>66407.39</v>
      </c>
      <c r="D25" s="83">
        <v>28464</v>
      </c>
      <c r="E25" s="78">
        <v>2372</v>
      </c>
      <c r="F25" s="79">
        <v>3.2199999999999999E-2</v>
      </c>
      <c r="G25" s="80">
        <v>28</v>
      </c>
      <c r="H25" s="78">
        <v>371</v>
      </c>
      <c r="I25" s="81">
        <v>4.4000000000000004</v>
      </c>
    </row>
    <row r="26" spans="1:9" x14ac:dyDescent="0.6">
      <c r="A26" s="74" t="s">
        <v>43</v>
      </c>
      <c r="B26" s="75">
        <v>11</v>
      </c>
      <c r="C26" s="76">
        <v>97109.400000000009</v>
      </c>
      <c r="D26" s="83">
        <v>25464</v>
      </c>
      <c r="E26" s="78">
        <v>2122</v>
      </c>
      <c r="F26" s="79">
        <v>2.8799999999999999E-2</v>
      </c>
      <c r="G26" s="80">
        <v>45.76</v>
      </c>
      <c r="H26" s="78">
        <v>14314</v>
      </c>
      <c r="I26" s="81">
        <v>4.4000000000000004</v>
      </c>
    </row>
    <row r="27" spans="1:9" x14ac:dyDescent="0.6">
      <c r="A27" s="74" t="s">
        <v>45</v>
      </c>
      <c r="B27" s="75">
        <v>4</v>
      </c>
      <c r="C27" s="76">
        <v>49057.52</v>
      </c>
      <c r="D27" s="83">
        <v>24396</v>
      </c>
      <c r="E27" s="78">
        <v>2033</v>
      </c>
      <c r="F27" s="79">
        <v>2.76E-2</v>
      </c>
      <c r="G27" s="80">
        <v>24.13</v>
      </c>
      <c r="H27" s="78">
        <v>3564</v>
      </c>
      <c r="I27" s="81">
        <v>4.3</v>
      </c>
    </row>
    <row r="28" spans="1:9" x14ac:dyDescent="0.6">
      <c r="A28" s="74" t="s">
        <v>223</v>
      </c>
      <c r="B28" s="75">
        <v>5</v>
      </c>
      <c r="C28" s="76">
        <v>57052.649999999987</v>
      </c>
      <c r="D28" s="83">
        <v>23964</v>
      </c>
      <c r="E28" s="78">
        <v>1997</v>
      </c>
      <c r="F28" s="79">
        <v>2.7099999999999999E-2</v>
      </c>
      <c r="G28" s="80">
        <v>28.57</v>
      </c>
      <c r="H28" s="78">
        <v>4824</v>
      </c>
      <c r="I28" s="81">
        <v>4.5</v>
      </c>
    </row>
    <row r="29" spans="1:9" ht="15.9" thickBot="1" x14ac:dyDescent="0.65">
      <c r="C29" s="6"/>
      <c r="D29" s="21"/>
      <c r="F29" s="7"/>
      <c r="G29" s="7"/>
      <c r="I29" s="8"/>
    </row>
    <row r="30" spans="1:9" ht="15.9" thickTop="1" x14ac:dyDescent="0.6">
      <c r="A30" s="9" t="s">
        <v>5</v>
      </c>
      <c r="B30" s="10">
        <f>SUM(B18:B28)</f>
        <v>111</v>
      </c>
      <c r="C30" s="11">
        <f>SUM(C19:C28)</f>
        <v>2393153.52</v>
      </c>
      <c r="D30" s="73">
        <f>SUM(D19:D28)</f>
        <v>529956</v>
      </c>
      <c r="E30" s="13">
        <f>SUM(E19:E28)</f>
        <v>44163</v>
      </c>
      <c r="F30" s="12">
        <f>SUM(F19:F28)</f>
        <v>0.60019999999999996</v>
      </c>
      <c r="G30" s="27">
        <f>AVERAGE(G19:G28)</f>
        <v>44.714999999999996</v>
      </c>
      <c r="H30" s="13">
        <f>SUM(H19:H28)</f>
        <v>124649</v>
      </c>
      <c r="I30" s="14">
        <f>AVERAGE(I19:I28)</f>
        <v>4.3999999999999995</v>
      </c>
    </row>
  </sheetData>
  <mergeCells count="2">
    <mergeCell ref="A1:I1"/>
    <mergeCell ref="A17:I17"/>
  </mergeCells>
  <pageMargins left="0.7" right="0.7" top="0.75" bottom="0.75" header="0.3" footer="0.3"/>
  <pageSetup orientation="portrait" horizontalDpi="1200" verticalDpi="1200" r:id="rId1"/>
  <ignoredErrors>
    <ignoredError sqref="G14 G30" formula="1"/>
  </ignoredError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202AB-569D-BB4B-AFF7-93DA6A50F82A}">
  <sheetPr codeName="Sheet3"/>
  <dimension ref="A1:L106"/>
  <sheetViews>
    <sheetView tabSelected="1" topLeftCell="A33" zoomScaleNormal="100" workbookViewId="0">
      <selection activeCell="L85" sqref="L85"/>
    </sheetView>
  </sheetViews>
  <sheetFormatPr defaultColWidth="11.09765625" defaultRowHeight="15.6" x14ac:dyDescent="0.6"/>
  <cols>
    <col min="1" max="1" width="9.75" customWidth="1"/>
    <col min="2" max="2" width="12.09765625" customWidth="1"/>
    <col min="3" max="3" width="14.84765625" customWidth="1"/>
    <col min="5" max="5" width="9" bestFit="1" customWidth="1"/>
    <col min="6" max="6" width="7" bestFit="1" customWidth="1"/>
    <col min="7" max="7" width="21.25" bestFit="1" customWidth="1"/>
    <col min="8" max="8" width="21.09765625" bestFit="1" customWidth="1"/>
    <col min="9" max="9" width="12.84765625" bestFit="1" customWidth="1"/>
    <col min="10" max="10" width="12" bestFit="1" customWidth="1"/>
    <col min="11" max="11" width="28" hidden="1" customWidth="1"/>
    <col min="12" max="12" width="35.59765625" customWidth="1"/>
  </cols>
  <sheetData>
    <row r="1" spans="1:12" ht="26.1" x14ac:dyDescent="0.85">
      <c r="A1" s="105" t="s">
        <v>31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1:12" x14ac:dyDescent="0.6">
      <c r="A2" s="61" t="s">
        <v>25</v>
      </c>
      <c r="B2" s="62" t="s">
        <v>6</v>
      </c>
      <c r="C2" s="62" t="s">
        <v>7</v>
      </c>
      <c r="D2" s="62" t="s">
        <v>0</v>
      </c>
      <c r="E2" s="63" t="s">
        <v>435</v>
      </c>
      <c r="F2" s="63" t="s">
        <v>8</v>
      </c>
      <c r="G2" s="64" t="s">
        <v>17</v>
      </c>
      <c r="H2" s="65" t="s">
        <v>16</v>
      </c>
      <c r="I2" s="66" t="s">
        <v>9</v>
      </c>
      <c r="J2" s="67" t="s">
        <v>10</v>
      </c>
      <c r="K2" s="67" t="s">
        <v>24</v>
      </c>
      <c r="L2" s="67" t="s">
        <v>11</v>
      </c>
    </row>
    <row r="3" spans="1:12" x14ac:dyDescent="0.6">
      <c r="A3" s="15">
        <v>1</v>
      </c>
      <c r="B3" s="16" t="s">
        <v>47</v>
      </c>
      <c r="C3" s="5" t="s">
        <v>48</v>
      </c>
      <c r="D3" s="5" t="s">
        <v>34</v>
      </c>
      <c r="E3" s="6" t="s">
        <v>447</v>
      </c>
      <c r="F3" s="6">
        <v>129.97422119037569</v>
      </c>
      <c r="G3" s="6">
        <v>307908.93</v>
      </c>
      <c r="H3" s="17">
        <v>2369</v>
      </c>
      <c r="I3" s="17">
        <v>484</v>
      </c>
      <c r="J3" s="5">
        <v>4.5999999999999996</v>
      </c>
      <c r="K3" s="5" t="s">
        <v>49</v>
      </c>
      <c r="L3" s="33" t="str">
        <f t="shared" ref="L3:L66" si="0">HYPERLINK(K3)</f>
        <v>https://amazon.com/dp/B0CJY5C9QX</v>
      </c>
    </row>
    <row r="4" spans="1:12" x14ac:dyDescent="0.6">
      <c r="A4" s="15">
        <v>2</v>
      </c>
      <c r="B4" s="16" t="s">
        <v>50</v>
      </c>
      <c r="C4" s="5" t="s">
        <v>51</v>
      </c>
      <c r="D4" s="5" t="s">
        <v>36</v>
      </c>
      <c r="E4" s="6" t="s">
        <v>447</v>
      </c>
      <c r="F4" s="6">
        <v>139.4190909090909</v>
      </c>
      <c r="G4" s="6">
        <v>243843.99</v>
      </c>
      <c r="H4" s="17">
        <v>1749</v>
      </c>
      <c r="I4" s="17">
        <v>1053</v>
      </c>
      <c r="J4" s="5">
        <v>4.5999999999999996</v>
      </c>
      <c r="K4" s="5" t="s">
        <v>52</v>
      </c>
      <c r="L4" s="33" t="str">
        <f t="shared" si="0"/>
        <v>https://amazon.com/dp/B0B28HRSBP</v>
      </c>
    </row>
    <row r="5" spans="1:12" x14ac:dyDescent="0.6">
      <c r="A5" s="15">
        <v>3</v>
      </c>
      <c r="B5" s="16" t="s">
        <v>53</v>
      </c>
      <c r="C5" s="5" t="s">
        <v>54</v>
      </c>
      <c r="D5" s="5" t="s">
        <v>35</v>
      </c>
      <c r="E5" s="6" t="s">
        <v>437</v>
      </c>
      <c r="F5" s="6">
        <v>63.776024981631153</v>
      </c>
      <c r="G5" s="6">
        <v>173598.34</v>
      </c>
      <c r="H5" s="17">
        <v>2722</v>
      </c>
      <c r="I5" s="17">
        <v>6096</v>
      </c>
      <c r="J5" s="5">
        <v>4.5</v>
      </c>
      <c r="K5" s="5" t="s">
        <v>55</v>
      </c>
      <c r="L5" s="33" t="str">
        <f t="shared" si="0"/>
        <v>https://amazon.com/dp/B0928Q3T42</v>
      </c>
    </row>
    <row r="6" spans="1:12" x14ac:dyDescent="0.6">
      <c r="A6" s="15">
        <v>4</v>
      </c>
      <c r="B6" s="16" t="s">
        <v>56</v>
      </c>
      <c r="C6" s="5" t="s">
        <v>57</v>
      </c>
      <c r="D6" s="5" t="s">
        <v>35</v>
      </c>
      <c r="E6" s="6" t="s">
        <v>437</v>
      </c>
      <c r="F6" s="6">
        <v>129.94307142857139</v>
      </c>
      <c r="G6" s="6">
        <v>145536.24</v>
      </c>
      <c r="H6" s="17">
        <v>1120</v>
      </c>
      <c r="I6" s="17">
        <v>1784</v>
      </c>
      <c r="J6" s="5">
        <v>4.4000000000000004</v>
      </c>
      <c r="K6" s="5" t="s">
        <v>58</v>
      </c>
      <c r="L6" s="33" t="str">
        <f t="shared" si="0"/>
        <v>https://amazon.com/dp/B0BS1CFFH8</v>
      </c>
    </row>
    <row r="7" spans="1:12" x14ac:dyDescent="0.6">
      <c r="A7" s="15">
        <v>5</v>
      </c>
      <c r="B7" s="16" t="s">
        <v>59</v>
      </c>
      <c r="C7" s="5" t="s">
        <v>60</v>
      </c>
      <c r="D7" s="5" t="s">
        <v>37</v>
      </c>
      <c r="E7" s="6" t="s">
        <v>437</v>
      </c>
      <c r="F7" s="6">
        <v>41.444117459304181</v>
      </c>
      <c r="G7" s="6">
        <v>129844.42</v>
      </c>
      <c r="H7" s="17">
        <v>3133</v>
      </c>
      <c r="I7" s="17">
        <v>989</v>
      </c>
      <c r="J7" s="5">
        <v>4.5999999999999996</v>
      </c>
      <c r="K7" s="5" t="s">
        <v>61</v>
      </c>
      <c r="L7" s="33" t="str">
        <f t="shared" si="0"/>
        <v>https://amazon.com/dp/B0CFF8Z1NF</v>
      </c>
    </row>
    <row r="8" spans="1:12" x14ac:dyDescent="0.6">
      <c r="A8" s="15">
        <v>6</v>
      </c>
      <c r="B8" s="16" t="s">
        <v>239</v>
      </c>
      <c r="C8" s="5" t="s">
        <v>240</v>
      </c>
      <c r="D8" s="5" t="s">
        <v>238</v>
      </c>
      <c r="E8" s="6" t="s">
        <v>438</v>
      </c>
      <c r="F8" s="6">
        <v>25.99</v>
      </c>
      <c r="G8" s="6">
        <v>116955</v>
      </c>
      <c r="H8" s="17">
        <v>4500</v>
      </c>
      <c r="I8" s="17">
        <v>1548</v>
      </c>
      <c r="J8" s="5">
        <v>4.3</v>
      </c>
      <c r="K8" s="5" t="s">
        <v>241</v>
      </c>
      <c r="L8" s="33" t="str">
        <f t="shared" si="0"/>
        <v>https://amazon.com/dp/B0C4V5LWWL</v>
      </c>
    </row>
    <row r="9" spans="1:12" x14ac:dyDescent="0.6">
      <c r="A9" s="15">
        <v>7</v>
      </c>
      <c r="B9" s="16" t="s">
        <v>62</v>
      </c>
      <c r="C9" s="5" t="s">
        <v>63</v>
      </c>
      <c r="D9" s="5" t="s">
        <v>41</v>
      </c>
      <c r="E9" s="6" t="s">
        <v>447</v>
      </c>
      <c r="F9" s="6">
        <v>129.9210582639715</v>
      </c>
      <c r="G9" s="6">
        <v>109263.61</v>
      </c>
      <c r="H9" s="17">
        <v>841</v>
      </c>
      <c r="I9" s="17">
        <v>102</v>
      </c>
      <c r="J9" s="5">
        <v>4.7</v>
      </c>
      <c r="K9" s="5" t="s">
        <v>64</v>
      </c>
      <c r="L9" s="33" t="str">
        <f t="shared" si="0"/>
        <v>https://amazon.com/dp/B0DFHL8YN5</v>
      </c>
    </row>
    <row r="10" spans="1:12" x14ac:dyDescent="0.6">
      <c r="A10" s="15">
        <v>8</v>
      </c>
      <c r="B10" s="16" t="s">
        <v>65</v>
      </c>
      <c r="C10" s="5" t="s">
        <v>66</v>
      </c>
      <c r="D10" s="5" t="s">
        <v>42</v>
      </c>
      <c r="E10" s="6" t="s">
        <v>447</v>
      </c>
      <c r="F10" s="6">
        <v>119.987869047619</v>
      </c>
      <c r="G10" s="6">
        <v>100789.81</v>
      </c>
      <c r="H10" s="17">
        <v>840</v>
      </c>
      <c r="I10" s="17">
        <v>152</v>
      </c>
      <c r="J10" s="5">
        <v>4.3</v>
      </c>
      <c r="K10" s="5" t="s">
        <v>67</v>
      </c>
      <c r="L10" s="33" t="str">
        <f t="shared" si="0"/>
        <v>https://amazon.com/dp/B0D9M3Q7FK</v>
      </c>
    </row>
    <row r="11" spans="1:12" x14ac:dyDescent="0.6">
      <c r="A11" s="15">
        <v>9</v>
      </c>
      <c r="B11" s="16" t="s">
        <v>68</v>
      </c>
      <c r="C11" s="5" t="s">
        <v>69</v>
      </c>
      <c r="D11" s="5" t="s">
        <v>40</v>
      </c>
      <c r="E11" s="6" t="s">
        <v>436</v>
      </c>
      <c r="F11" s="6">
        <v>37.597973408541499</v>
      </c>
      <c r="G11" s="6">
        <v>93318.17</v>
      </c>
      <c r="H11" s="17">
        <v>2482</v>
      </c>
      <c r="I11" s="17">
        <v>531</v>
      </c>
      <c r="J11" s="5">
        <v>4.5999999999999996</v>
      </c>
      <c r="K11" s="5" t="s">
        <v>70</v>
      </c>
      <c r="L11" s="33" t="str">
        <f t="shared" si="0"/>
        <v>https://amazon.com/dp/B0CP538LN1</v>
      </c>
    </row>
    <row r="12" spans="1:12" x14ac:dyDescent="0.6">
      <c r="A12" s="15">
        <v>10</v>
      </c>
      <c r="B12" s="16" t="s">
        <v>71</v>
      </c>
      <c r="C12" s="5" t="s">
        <v>72</v>
      </c>
      <c r="D12" s="5" t="s">
        <v>38</v>
      </c>
      <c r="E12" s="6" t="s">
        <v>437</v>
      </c>
      <c r="F12" s="6">
        <v>37.149725297252971</v>
      </c>
      <c r="G12" s="6">
        <v>90608.18</v>
      </c>
      <c r="H12" s="17">
        <v>2439</v>
      </c>
      <c r="I12" s="17">
        <v>2494</v>
      </c>
      <c r="J12" s="5">
        <v>4.4000000000000004</v>
      </c>
      <c r="K12" s="5" t="s">
        <v>73</v>
      </c>
      <c r="L12" s="33" t="str">
        <f t="shared" si="0"/>
        <v>https://amazon.com/dp/B0C3R381FC</v>
      </c>
    </row>
    <row r="13" spans="1:12" x14ac:dyDescent="0.6">
      <c r="A13" s="15">
        <v>11</v>
      </c>
      <c r="B13" s="16" t="s">
        <v>74</v>
      </c>
      <c r="C13" s="5" t="s">
        <v>75</v>
      </c>
      <c r="D13" s="5" t="s">
        <v>34</v>
      </c>
      <c r="E13" s="6" t="s">
        <v>436</v>
      </c>
      <c r="F13" s="6">
        <v>150.1325460636516</v>
      </c>
      <c r="G13" s="6">
        <v>89629.13</v>
      </c>
      <c r="H13" s="17">
        <v>597</v>
      </c>
      <c r="I13" s="17">
        <v>3464</v>
      </c>
      <c r="J13" s="5">
        <v>4.5999999999999996</v>
      </c>
      <c r="K13" s="5" t="s">
        <v>76</v>
      </c>
      <c r="L13" s="33" t="str">
        <f t="shared" si="0"/>
        <v>https://amazon.com/dp/B07TV2BFVR</v>
      </c>
    </row>
    <row r="14" spans="1:12" x14ac:dyDescent="0.6">
      <c r="A14" s="15">
        <v>12</v>
      </c>
      <c r="B14" s="16" t="s">
        <v>77</v>
      </c>
      <c r="C14" s="5" t="s">
        <v>78</v>
      </c>
      <c r="D14" s="5" t="s">
        <v>39</v>
      </c>
      <c r="E14" s="6" t="s">
        <v>447</v>
      </c>
      <c r="F14" s="6">
        <v>150.7980677290837</v>
      </c>
      <c r="G14" s="6">
        <v>75700.63</v>
      </c>
      <c r="H14" s="17">
        <v>502</v>
      </c>
      <c r="I14" s="17">
        <v>70</v>
      </c>
      <c r="J14" s="5">
        <v>4.7</v>
      </c>
      <c r="K14" s="5" t="s">
        <v>79</v>
      </c>
      <c r="L14" s="33" t="str">
        <f t="shared" si="0"/>
        <v>https://amazon.com/dp/B0D59Y7B2D</v>
      </c>
    </row>
    <row r="15" spans="1:12" x14ac:dyDescent="0.6">
      <c r="A15" s="15">
        <v>13</v>
      </c>
      <c r="B15" s="16" t="s">
        <v>80</v>
      </c>
      <c r="C15" s="5" t="s">
        <v>81</v>
      </c>
      <c r="D15" s="5" t="s">
        <v>35</v>
      </c>
      <c r="E15" s="6" t="s">
        <v>437</v>
      </c>
      <c r="F15" s="6">
        <v>68.750386904761911</v>
      </c>
      <c r="G15" s="6">
        <v>69300.39</v>
      </c>
      <c r="H15" s="17">
        <v>1008</v>
      </c>
      <c r="I15" s="17">
        <v>485</v>
      </c>
      <c r="J15" s="5">
        <v>4.5999999999999996</v>
      </c>
      <c r="K15" s="5" t="s">
        <v>82</v>
      </c>
      <c r="L15" s="33" t="str">
        <f t="shared" si="0"/>
        <v>https://amazon.com/dp/B0CT2CX59S</v>
      </c>
    </row>
    <row r="16" spans="1:12" x14ac:dyDescent="0.6">
      <c r="A16" s="15">
        <v>14</v>
      </c>
      <c r="B16" s="16" t="s">
        <v>83</v>
      </c>
      <c r="C16" s="5" t="s">
        <v>84</v>
      </c>
      <c r="D16" s="5" t="s">
        <v>34</v>
      </c>
      <c r="E16" s="6" t="s">
        <v>447</v>
      </c>
      <c r="F16" s="6">
        <v>144.4350630252101</v>
      </c>
      <c r="G16" s="6">
        <v>68751.09</v>
      </c>
      <c r="H16" s="17">
        <v>476</v>
      </c>
      <c r="I16" s="17">
        <v>200</v>
      </c>
      <c r="J16" s="5">
        <v>4.5</v>
      </c>
      <c r="K16" s="5" t="s">
        <v>85</v>
      </c>
      <c r="L16" s="33" t="str">
        <f t="shared" si="0"/>
        <v>https://amazon.com/dp/B0CJY6SWBN</v>
      </c>
    </row>
    <row r="17" spans="1:12" x14ac:dyDescent="0.6">
      <c r="A17" s="15">
        <v>15</v>
      </c>
      <c r="B17" s="16" t="s">
        <v>86</v>
      </c>
      <c r="C17" s="5" t="s">
        <v>87</v>
      </c>
      <c r="D17" s="5" t="s">
        <v>38</v>
      </c>
      <c r="E17" s="6" t="s">
        <v>436</v>
      </c>
      <c r="F17" s="6">
        <v>38.009591836734693</v>
      </c>
      <c r="G17" s="6">
        <v>63323.98</v>
      </c>
      <c r="H17" s="17">
        <v>1666</v>
      </c>
      <c r="I17" s="17">
        <v>1189</v>
      </c>
      <c r="J17" s="5">
        <v>4.4000000000000004</v>
      </c>
      <c r="K17" s="5" t="s">
        <v>88</v>
      </c>
      <c r="L17" s="33" t="str">
        <f t="shared" si="0"/>
        <v>https://amazon.com/dp/B0BXSMSS7M</v>
      </c>
    </row>
    <row r="18" spans="1:12" x14ac:dyDescent="0.6">
      <c r="A18" s="15">
        <v>16</v>
      </c>
      <c r="B18" s="16" t="s">
        <v>242</v>
      </c>
      <c r="C18" s="5" t="s">
        <v>243</v>
      </c>
      <c r="D18" s="5" t="s">
        <v>238</v>
      </c>
      <c r="E18" s="6" t="s">
        <v>438</v>
      </c>
      <c r="F18" s="6">
        <v>35.99</v>
      </c>
      <c r="G18" s="6">
        <v>53985</v>
      </c>
      <c r="H18" s="17">
        <v>1500</v>
      </c>
      <c r="I18" s="17">
        <v>4574</v>
      </c>
      <c r="J18" s="5">
        <v>4.3</v>
      </c>
      <c r="K18" s="5" t="s">
        <v>244</v>
      </c>
      <c r="L18" s="33" t="str">
        <f t="shared" si="0"/>
        <v>https://amazon.com/dp/B0C9JR3N4W</v>
      </c>
    </row>
    <row r="19" spans="1:12" x14ac:dyDescent="0.6">
      <c r="A19" s="15">
        <v>17</v>
      </c>
      <c r="B19" s="16" t="s">
        <v>89</v>
      </c>
      <c r="C19" s="5" t="s">
        <v>90</v>
      </c>
      <c r="D19" s="5" t="s">
        <v>35</v>
      </c>
      <c r="E19" s="6" t="s">
        <v>439</v>
      </c>
      <c r="F19" s="6">
        <v>54.972591836734694</v>
      </c>
      <c r="G19" s="6">
        <v>53873.14</v>
      </c>
      <c r="H19" s="17">
        <v>980</v>
      </c>
      <c r="I19" s="17">
        <v>2494</v>
      </c>
      <c r="J19" s="5">
        <v>4.4000000000000004</v>
      </c>
      <c r="K19" s="5" t="s">
        <v>91</v>
      </c>
      <c r="L19" s="33" t="str">
        <f t="shared" si="0"/>
        <v>https://amazon.com/dp/B08NJ8627V</v>
      </c>
    </row>
    <row r="20" spans="1:12" x14ac:dyDescent="0.6">
      <c r="A20" s="15">
        <v>18</v>
      </c>
      <c r="B20" s="16" t="s">
        <v>92</v>
      </c>
      <c r="C20" s="5" t="s">
        <v>93</v>
      </c>
      <c r="D20" s="5" t="s">
        <v>39</v>
      </c>
      <c r="E20" s="6" t="s">
        <v>447</v>
      </c>
      <c r="F20" s="6">
        <v>129.83584951456311</v>
      </c>
      <c r="G20" s="6">
        <v>53492.37</v>
      </c>
      <c r="H20" s="17">
        <v>412</v>
      </c>
      <c r="I20" s="17">
        <v>227</v>
      </c>
      <c r="J20" s="5">
        <v>4.7</v>
      </c>
      <c r="K20" s="5" t="s">
        <v>94</v>
      </c>
      <c r="L20" s="33" t="str">
        <f t="shared" si="0"/>
        <v>https://amazon.com/dp/B0D3XDGN6M</v>
      </c>
    </row>
    <row r="21" spans="1:12" x14ac:dyDescent="0.6">
      <c r="A21" s="15">
        <v>19</v>
      </c>
      <c r="B21" s="16" t="s">
        <v>95</v>
      </c>
      <c r="C21" s="5" t="s">
        <v>96</v>
      </c>
      <c r="D21" s="5" t="s">
        <v>35</v>
      </c>
      <c r="E21" s="6" t="s">
        <v>447</v>
      </c>
      <c r="F21" s="6">
        <v>121.4450460829493</v>
      </c>
      <c r="G21" s="6">
        <v>52707.15</v>
      </c>
      <c r="H21" s="17">
        <v>434</v>
      </c>
      <c r="I21" s="17">
        <v>208</v>
      </c>
      <c r="J21" s="5">
        <v>4.5</v>
      </c>
      <c r="K21" s="5" t="s">
        <v>97</v>
      </c>
      <c r="L21" s="33" t="str">
        <f t="shared" si="0"/>
        <v>https://amazon.com/dp/B0DBZ6Q4YH</v>
      </c>
    </row>
    <row r="22" spans="1:12" x14ac:dyDescent="0.6">
      <c r="A22" s="15">
        <v>20</v>
      </c>
      <c r="B22" s="16" t="s">
        <v>98</v>
      </c>
      <c r="C22" s="5" t="s">
        <v>99</v>
      </c>
      <c r="D22" s="5" t="s">
        <v>44</v>
      </c>
      <c r="E22" s="6" t="s">
        <v>438</v>
      </c>
      <c r="F22" s="6">
        <v>26.93604951005673</v>
      </c>
      <c r="G22" s="6">
        <v>52229</v>
      </c>
      <c r="H22" s="17">
        <v>1939</v>
      </c>
      <c r="I22" s="17">
        <v>165</v>
      </c>
      <c r="J22" s="5">
        <v>4.3</v>
      </c>
      <c r="K22" s="5" t="s">
        <v>100</v>
      </c>
      <c r="L22" s="33" t="str">
        <f t="shared" si="0"/>
        <v>https://amazon.com/dp/B0DGFBCH38</v>
      </c>
    </row>
    <row r="23" spans="1:12" x14ac:dyDescent="0.6">
      <c r="A23" s="15">
        <v>21</v>
      </c>
      <c r="B23" s="16" t="s">
        <v>101</v>
      </c>
      <c r="C23" s="5" t="s">
        <v>102</v>
      </c>
      <c r="D23" s="5" t="s">
        <v>34</v>
      </c>
      <c r="E23" s="6" t="s">
        <v>438</v>
      </c>
      <c r="F23" s="6">
        <v>39.989022498060507</v>
      </c>
      <c r="G23" s="6">
        <v>51545.85</v>
      </c>
      <c r="H23" s="17">
        <v>1289</v>
      </c>
      <c r="I23" s="17">
        <v>377</v>
      </c>
      <c r="J23" s="5">
        <v>3.9</v>
      </c>
      <c r="K23" s="5" t="s">
        <v>103</v>
      </c>
      <c r="L23" s="33" t="str">
        <f t="shared" si="0"/>
        <v>https://amazon.com/dp/B0CL4KT182</v>
      </c>
    </row>
    <row r="24" spans="1:12" x14ac:dyDescent="0.6">
      <c r="A24" s="15">
        <v>22</v>
      </c>
      <c r="B24" s="16" t="s">
        <v>104</v>
      </c>
      <c r="C24" s="5" t="s">
        <v>105</v>
      </c>
      <c r="D24" s="5" t="s">
        <v>37</v>
      </c>
      <c r="E24" s="6" t="s">
        <v>437</v>
      </c>
      <c r="F24" s="6">
        <v>36.379925037481257</v>
      </c>
      <c r="G24" s="6">
        <v>48530.82</v>
      </c>
      <c r="H24" s="17">
        <v>1334</v>
      </c>
      <c r="I24" s="17">
        <v>989</v>
      </c>
      <c r="J24" s="5">
        <v>4.5999999999999996</v>
      </c>
      <c r="K24" s="5" t="s">
        <v>106</v>
      </c>
      <c r="L24" s="33" t="str">
        <f t="shared" si="0"/>
        <v>https://amazon.com/dp/B0CXHYT8H8</v>
      </c>
    </row>
    <row r="25" spans="1:12" x14ac:dyDescent="0.6">
      <c r="A25" s="15">
        <v>23</v>
      </c>
      <c r="B25" s="16" t="s">
        <v>107</v>
      </c>
      <c r="C25" s="5" t="s">
        <v>108</v>
      </c>
      <c r="D25" s="5" t="s">
        <v>109</v>
      </c>
      <c r="E25" s="6" t="s">
        <v>437</v>
      </c>
      <c r="F25" s="6">
        <v>30.23452064896755</v>
      </c>
      <c r="G25" s="6">
        <v>40998.01</v>
      </c>
      <c r="H25" s="17">
        <v>1356</v>
      </c>
      <c r="I25" s="17">
        <v>1865</v>
      </c>
      <c r="J25" s="5">
        <v>4.3</v>
      </c>
      <c r="K25" s="5" t="s">
        <v>110</v>
      </c>
      <c r="L25" s="33" t="str">
        <f t="shared" si="0"/>
        <v>https://amazon.com/dp/B0C2P7TP2V</v>
      </c>
    </row>
    <row r="26" spans="1:12" x14ac:dyDescent="0.6">
      <c r="A26" s="15">
        <v>24</v>
      </c>
      <c r="B26" s="16" t="s">
        <v>111</v>
      </c>
      <c r="C26" s="5" t="s">
        <v>112</v>
      </c>
      <c r="D26" s="5" t="s">
        <v>113</v>
      </c>
      <c r="E26" s="6" t="s">
        <v>438</v>
      </c>
      <c r="F26" s="6">
        <v>25.987825242718451</v>
      </c>
      <c r="G26" s="6">
        <v>40151.19</v>
      </c>
      <c r="H26" s="17">
        <v>1545</v>
      </c>
      <c r="I26" s="17">
        <v>526</v>
      </c>
      <c r="J26" s="5">
        <v>4.3</v>
      </c>
      <c r="K26" s="5" t="s">
        <v>114</v>
      </c>
      <c r="L26" s="33" t="str">
        <f t="shared" si="0"/>
        <v>https://amazon.com/dp/B0CG46T9ZF</v>
      </c>
    </row>
    <row r="27" spans="1:12" x14ac:dyDescent="0.6">
      <c r="A27" s="15">
        <v>25</v>
      </c>
      <c r="B27" s="16" t="s">
        <v>115</v>
      </c>
      <c r="C27" s="5" t="s">
        <v>116</v>
      </c>
      <c r="D27" s="5" t="s">
        <v>117</v>
      </c>
      <c r="E27" s="6" t="s">
        <v>447</v>
      </c>
      <c r="F27" s="6">
        <v>123.36049689440991</v>
      </c>
      <c r="G27" s="6">
        <v>39722.080000000002</v>
      </c>
      <c r="H27" s="17">
        <v>322</v>
      </c>
      <c r="I27" s="17">
        <v>51</v>
      </c>
      <c r="J27" s="5">
        <v>4.4000000000000004</v>
      </c>
      <c r="K27" s="5" t="s">
        <v>118</v>
      </c>
      <c r="L27" s="33" t="str">
        <f t="shared" si="0"/>
        <v>https://amazon.com/dp/B0DBQBL4H3</v>
      </c>
    </row>
    <row r="28" spans="1:12" x14ac:dyDescent="0.6">
      <c r="A28" s="15">
        <v>26</v>
      </c>
      <c r="B28" s="16" t="s">
        <v>119</v>
      </c>
      <c r="C28" s="5" t="s">
        <v>120</v>
      </c>
      <c r="D28" s="5" t="s">
        <v>34</v>
      </c>
      <c r="E28" s="6" t="s">
        <v>438</v>
      </c>
      <c r="F28" s="6">
        <v>55.98104136947218</v>
      </c>
      <c r="G28" s="6">
        <v>39242.71</v>
      </c>
      <c r="H28" s="17">
        <v>701</v>
      </c>
      <c r="I28" s="17">
        <v>1990</v>
      </c>
      <c r="J28" s="5">
        <v>4.4000000000000004</v>
      </c>
      <c r="K28" s="5" t="s">
        <v>121</v>
      </c>
      <c r="L28" s="33" t="str">
        <f t="shared" si="0"/>
        <v>https://amazon.com/dp/B07TTQF24F</v>
      </c>
    </row>
    <row r="29" spans="1:12" x14ac:dyDescent="0.6">
      <c r="A29" s="15">
        <v>27</v>
      </c>
      <c r="B29" s="16" t="s">
        <v>122</v>
      </c>
      <c r="C29" s="5" t="s">
        <v>123</v>
      </c>
      <c r="D29" s="5" t="s">
        <v>46</v>
      </c>
      <c r="E29" s="6" t="s">
        <v>438</v>
      </c>
      <c r="F29" s="6">
        <v>32.446207497820403</v>
      </c>
      <c r="G29" s="6">
        <v>37215.800000000003</v>
      </c>
      <c r="H29" s="17">
        <v>1147</v>
      </c>
      <c r="I29" s="17">
        <v>525</v>
      </c>
      <c r="J29" s="5">
        <v>4.4000000000000004</v>
      </c>
      <c r="K29" s="5" t="s">
        <v>124</v>
      </c>
      <c r="L29" s="33" t="str">
        <f t="shared" si="0"/>
        <v>https://amazon.com/dp/B0C9C4H2ZH</v>
      </c>
    </row>
    <row r="30" spans="1:12" x14ac:dyDescent="0.6">
      <c r="A30" s="15">
        <v>28</v>
      </c>
      <c r="B30" s="16" t="s">
        <v>125</v>
      </c>
      <c r="C30" s="5" t="s">
        <v>126</v>
      </c>
      <c r="D30" s="5" t="s">
        <v>43</v>
      </c>
      <c r="E30" s="6" t="s">
        <v>436</v>
      </c>
      <c r="F30" s="6">
        <v>40.010278099652382</v>
      </c>
      <c r="G30" s="6">
        <v>34528.870000000003</v>
      </c>
      <c r="H30" s="17">
        <v>863</v>
      </c>
      <c r="I30" s="17">
        <v>105</v>
      </c>
      <c r="J30" s="5">
        <v>4.7</v>
      </c>
      <c r="K30" s="5" t="s">
        <v>127</v>
      </c>
      <c r="L30" s="33" t="str">
        <f t="shared" si="0"/>
        <v>https://amazon.com/dp/B0D1VGWHJ4</v>
      </c>
    </row>
    <row r="31" spans="1:12" x14ac:dyDescent="0.6">
      <c r="A31" s="15">
        <v>29</v>
      </c>
      <c r="B31" s="16" t="s">
        <v>128</v>
      </c>
      <c r="C31" s="5" t="s">
        <v>129</v>
      </c>
      <c r="D31" s="5" t="s">
        <v>130</v>
      </c>
      <c r="E31" s="6" t="s">
        <v>438</v>
      </c>
      <c r="F31" s="6">
        <v>24.910711692084242</v>
      </c>
      <c r="G31" s="6">
        <v>34302.050000000003</v>
      </c>
      <c r="H31" s="17">
        <v>1377</v>
      </c>
      <c r="I31" s="17">
        <v>656</v>
      </c>
      <c r="J31" s="5">
        <v>4.3</v>
      </c>
      <c r="K31" s="5" t="s">
        <v>131</v>
      </c>
      <c r="L31" s="33" t="str">
        <f t="shared" si="0"/>
        <v>https://amazon.com/dp/B0CKQH4VZY</v>
      </c>
    </row>
    <row r="32" spans="1:12" x14ac:dyDescent="0.6">
      <c r="A32" s="15">
        <v>30</v>
      </c>
      <c r="B32" s="16" t="s">
        <v>132</v>
      </c>
      <c r="C32" s="5" t="s">
        <v>133</v>
      </c>
      <c r="D32" s="5" t="s">
        <v>40</v>
      </c>
      <c r="E32" s="6" t="s">
        <v>437</v>
      </c>
      <c r="F32" s="6">
        <v>37.137386759581879</v>
      </c>
      <c r="G32" s="6">
        <v>31975.29</v>
      </c>
      <c r="H32" s="17">
        <v>861</v>
      </c>
      <c r="I32" s="17">
        <v>203</v>
      </c>
      <c r="J32" s="5">
        <v>4.5999999999999996</v>
      </c>
      <c r="K32" s="5" t="s">
        <v>134</v>
      </c>
      <c r="L32" s="33" t="str">
        <f t="shared" si="0"/>
        <v>https://amazon.com/dp/B0CW65T636</v>
      </c>
    </row>
    <row r="33" spans="1:12" x14ac:dyDescent="0.6">
      <c r="A33" s="15">
        <v>31</v>
      </c>
      <c r="B33" s="16" t="s">
        <v>135</v>
      </c>
      <c r="C33" s="5" t="s">
        <v>136</v>
      </c>
      <c r="D33" s="5" t="s">
        <v>35</v>
      </c>
      <c r="E33" s="6" t="s">
        <v>437</v>
      </c>
      <c r="F33" s="6">
        <v>120.05338345864661</v>
      </c>
      <c r="G33" s="6">
        <v>31934.2</v>
      </c>
      <c r="H33" s="17">
        <v>266</v>
      </c>
      <c r="I33" s="17">
        <v>1469</v>
      </c>
      <c r="J33" s="5">
        <v>4.5</v>
      </c>
      <c r="K33" s="5" t="s">
        <v>137</v>
      </c>
      <c r="L33" s="33" t="str">
        <f t="shared" si="0"/>
        <v>https://amazon.com/dp/B0BYF9J7V9</v>
      </c>
    </row>
    <row r="34" spans="1:12" x14ac:dyDescent="0.6">
      <c r="A34" s="15">
        <v>32</v>
      </c>
      <c r="B34" s="16" t="s">
        <v>138</v>
      </c>
      <c r="C34" s="5" t="s">
        <v>139</v>
      </c>
      <c r="D34" s="5" t="s">
        <v>45</v>
      </c>
      <c r="E34" s="6" t="s">
        <v>438</v>
      </c>
      <c r="F34" s="6">
        <v>21.822619212163101</v>
      </c>
      <c r="G34" s="6">
        <v>31577.33</v>
      </c>
      <c r="H34" s="17">
        <v>1447</v>
      </c>
      <c r="I34" s="17">
        <v>1226</v>
      </c>
      <c r="J34" s="5">
        <v>4.5</v>
      </c>
      <c r="K34" s="5" t="s">
        <v>140</v>
      </c>
      <c r="L34" s="33" t="str">
        <f t="shared" si="0"/>
        <v>https://amazon.com/dp/B0CC27QRQ6</v>
      </c>
    </row>
    <row r="35" spans="1:12" x14ac:dyDescent="0.6">
      <c r="A35" s="15">
        <v>33</v>
      </c>
      <c r="B35" s="16" t="s">
        <v>141</v>
      </c>
      <c r="C35" s="5" t="s">
        <v>142</v>
      </c>
      <c r="D35" s="5" t="s">
        <v>143</v>
      </c>
      <c r="E35" s="6" t="s">
        <v>437</v>
      </c>
      <c r="F35" s="6">
        <v>34.10588235294118</v>
      </c>
      <c r="G35" s="6">
        <v>31309.200000000001</v>
      </c>
      <c r="H35" s="17">
        <v>918</v>
      </c>
      <c r="I35" s="17">
        <v>331</v>
      </c>
      <c r="J35" s="5">
        <v>4.5999999999999996</v>
      </c>
      <c r="K35" s="5" t="s">
        <v>144</v>
      </c>
      <c r="L35" s="33" t="str">
        <f t="shared" si="0"/>
        <v>https://amazon.com/dp/B0CGJK3BWM</v>
      </c>
    </row>
    <row r="36" spans="1:12" x14ac:dyDescent="0.6">
      <c r="A36" s="15">
        <v>34</v>
      </c>
      <c r="B36" s="16" t="s">
        <v>145</v>
      </c>
      <c r="C36" s="5" t="s">
        <v>146</v>
      </c>
      <c r="D36" s="5" t="s">
        <v>35</v>
      </c>
      <c r="E36" s="6" t="s">
        <v>437</v>
      </c>
      <c r="F36" s="6">
        <v>129.79962025316459</v>
      </c>
      <c r="G36" s="6">
        <v>30762.51</v>
      </c>
      <c r="H36" s="17">
        <v>237</v>
      </c>
      <c r="I36" s="17">
        <v>144</v>
      </c>
      <c r="J36" s="5">
        <v>4.3</v>
      </c>
      <c r="K36" s="5" t="s">
        <v>147</v>
      </c>
      <c r="L36" s="33" t="str">
        <f t="shared" si="0"/>
        <v>https://amazon.com/dp/B0DD351NSB</v>
      </c>
    </row>
    <row r="37" spans="1:12" x14ac:dyDescent="0.6">
      <c r="A37" s="15">
        <v>35</v>
      </c>
      <c r="B37" s="16" t="s">
        <v>148</v>
      </c>
      <c r="C37" s="5" t="s">
        <v>149</v>
      </c>
      <c r="D37" s="5" t="s">
        <v>35</v>
      </c>
      <c r="E37" s="6" t="s">
        <v>437</v>
      </c>
      <c r="F37" s="6">
        <v>49.985962199312723</v>
      </c>
      <c r="G37" s="6">
        <v>29091.83</v>
      </c>
      <c r="H37" s="17">
        <v>582</v>
      </c>
      <c r="I37" s="17">
        <v>169</v>
      </c>
      <c r="J37" s="5">
        <v>4.5</v>
      </c>
      <c r="K37" s="5" t="s">
        <v>150</v>
      </c>
      <c r="L37" s="33" t="str">
        <f t="shared" si="0"/>
        <v>https://amazon.com/dp/B0DD47VS7S</v>
      </c>
    </row>
    <row r="38" spans="1:12" x14ac:dyDescent="0.6">
      <c r="A38" s="15">
        <v>36</v>
      </c>
      <c r="B38" s="16" t="s">
        <v>151</v>
      </c>
      <c r="C38" s="5" t="s">
        <v>152</v>
      </c>
      <c r="D38" s="5" t="s">
        <v>153</v>
      </c>
      <c r="E38" s="6" t="s">
        <v>437</v>
      </c>
      <c r="F38" s="6">
        <v>29.69231732776618</v>
      </c>
      <c r="G38" s="6">
        <v>28445.24</v>
      </c>
      <c r="H38" s="17">
        <v>958</v>
      </c>
      <c r="I38" s="17">
        <v>2298</v>
      </c>
      <c r="J38" s="5">
        <v>4.4000000000000004</v>
      </c>
      <c r="K38" s="5" t="s">
        <v>154</v>
      </c>
      <c r="L38" s="33" t="str">
        <f t="shared" si="0"/>
        <v>https://amazon.com/dp/B0BV98JZ22</v>
      </c>
    </row>
    <row r="39" spans="1:12" x14ac:dyDescent="0.6">
      <c r="A39" s="15">
        <v>37</v>
      </c>
      <c r="B39" s="16" t="s">
        <v>245</v>
      </c>
      <c r="C39" s="5" t="s">
        <v>246</v>
      </c>
      <c r="D39" s="5" t="s">
        <v>223</v>
      </c>
      <c r="E39" s="6" t="s">
        <v>438</v>
      </c>
      <c r="F39" s="6">
        <v>21.58</v>
      </c>
      <c r="G39" s="6">
        <v>27385.02</v>
      </c>
      <c r="H39" s="17">
        <v>1269</v>
      </c>
      <c r="I39" s="17">
        <v>1601</v>
      </c>
      <c r="J39" s="5">
        <v>4.4000000000000004</v>
      </c>
      <c r="K39" s="5" t="s">
        <v>247</v>
      </c>
      <c r="L39" s="33" t="str">
        <f t="shared" si="0"/>
        <v>https://amazon.com/dp/B0CZHT2VHS</v>
      </c>
    </row>
    <row r="40" spans="1:12" x14ac:dyDescent="0.6">
      <c r="A40" s="15">
        <v>38</v>
      </c>
      <c r="B40" s="16" t="s">
        <v>155</v>
      </c>
      <c r="C40" s="5" t="s">
        <v>156</v>
      </c>
      <c r="D40" s="5" t="s">
        <v>157</v>
      </c>
      <c r="E40" s="6" t="s">
        <v>437</v>
      </c>
      <c r="F40" s="6">
        <v>149.8788571428571</v>
      </c>
      <c r="G40" s="6">
        <v>26228.799999999999</v>
      </c>
      <c r="H40" s="17">
        <v>175</v>
      </c>
      <c r="I40" s="17">
        <v>34</v>
      </c>
      <c r="J40" s="5">
        <v>4.0999999999999996</v>
      </c>
      <c r="K40" s="5" t="s">
        <v>158</v>
      </c>
      <c r="L40" s="33" t="str">
        <f t="shared" si="0"/>
        <v>https://amazon.com/dp/B0DLDS8N7D</v>
      </c>
    </row>
    <row r="41" spans="1:12" x14ac:dyDescent="0.6">
      <c r="A41" s="15">
        <v>39</v>
      </c>
      <c r="B41" s="16" t="s">
        <v>159</v>
      </c>
      <c r="C41" s="5" t="s">
        <v>160</v>
      </c>
      <c r="D41" s="5" t="s">
        <v>161</v>
      </c>
      <c r="E41" s="6" t="s">
        <v>437</v>
      </c>
      <c r="F41" s="6">
        <v>56.23866520787746</v>
      </c>
      <c r="G41" s="6">
        <v>25701.07</v>
      </c>
      <c r="H41" s="17">
        <v>457</v>
      </c>
      <c r="I41" s="17">
        <v>93</v>
      </c>
      <c r="J41" s="5">
        <v>4.8</v>
      </c>
      <c r="K41" s="5" t="s">
        <v>162</v>
      </c>
      <c r="L41" s="33" t="str">
        <f t="shared" si="0"/>
        <v>https://amazon.com/dp/B0DFGTYXD5</v>
      </c>
    </row>
    <row r="42" spans="1:12" x14ac:dyDescent="0.6">
      <c r="A42" s="15">
        <v>40</v>
      </c>
      <c r="B42" s="16" t="s">
        <v>163</v>
      </c>
      <c r="C42" s="5" t="s">
        <v>164</v>
      </c>
      <c r="D42" s="5" t="s">
        <v>165</v>
      </c>
      <c r="E42" s="6" t="s">
        <v>438</v>
      </c>
      <c r="F42" s="6">
        <v>21.50968372093023</v>
      </c>
      <c r="G42" s="6">
        <v>23122.91</v>
      </c>
      <c r="H42" s="17">
        <v>1075</v>
      </c>
      <c r="I42" s="17">
        <v>585</v>
      </c>
      <c r="J42" s="5">
        <v>4.2</v>
      </c>
      <c r="K42" s="5" t="s">
        <v>166</v>
      </c>
      <c r="L42" s="33" t="str">
        <f t="shared" si="0"/>
        <v>https://amazon.com/dp/B0CCHSCYCL</v>
      </c>
    </row>
    <row r="43" spans="1:12" x14ac:dyDescent="0.6">
      <c r="A43" s="15">
        <v>41</v>
      </c>
      <c r="B43" s="16" t="s">
        <v>167</v>
      </c>
      <c r="C43" s="5" t="s">
        <v>168</v>
      </c>
      <c r="D43" s="5" t="s">
        <v>169</v>
      </c>
      <c r="E43" s="6" t="s">
        <v>436</v>
      </c>
      <c r="F43" s="6">
        <v>69.925167173252277</v>
      </c>
      <c r="G43" s="6">
        <v>23005.38</v>
      </c>
      <c r="H43" s="17">
        <v>329</v>
      </c>
      <c r="I43" s="17">
        <v>188</v>
      </c>
      <c r="J43" s="5">
        <v>4.3</v>
      </c>
      <c r="K43" s="5" t="s">
        <v>170</v>
      </c>
      <c r="L43" s="33" t="str">
        <f t="shared" si="0"/>
        <v>https://amazon.com/dp/B0CB6GRGP8</v>
      </c>
    </row>
    <row r="44" spans="1:12" x14ac:dyDescent="0.6">
      <c r="A44" s="15">
        <v>42</v>
      </c>
      <c r="B44" s="16" t="s">
        <v>171</v>
      </c>
      <c r="C44" s="5" t="s">
        <v>172</v>
      </c>
      <c r="D44" s="5" t="s">
        <v>43</v>
      </c>
      <c r="E44" s="6" t="s">
        <v>439</v>
      </c>
      <c r="F44" s="6">
        <v>29.98857887874837</v>
      </c>
      <c r="G44" s="6">
        <v>23001.24</v>
      </c>
      <c r="H44" s="17">
        <v>767</v>
      </c>
      <c r="I44" s="17">
        <v>5410</v>
      </c>
      <c r="J44" s="5">
        <v>4.3</v>
      </c>
      <c r="K44" s="5" t="s">
        <v>173</v>
      </c>
      <c r="L44" s="33" t="str">
        <f t="shared" si="0"/>
        <v>https://amazon.com/dp/B07C9C6P5D</v>
      </c>
    </row>
    <row r="45" spans="1:12" x14ac:dyDescent="0.6">
      <c r="A45" s="15">
        <v>43</v>
      </c>
      <c r="B45" s="16" t="s">
        <v>174</v>
      </c>
      <c r="C45" s="5" t="s">
        <v>175</v>
      </c>
      <c r="D45" s="5" t="s">
        <v>35</v>
      </c>
      <c r="E45" s="6" t="s">
        <v>437</v>
      </c>
      <c r="F45" s="6">
        <v>239.9770652173913</v>
      </c>
      <c r="G45" s="6">
        <v>22077.89</v>
      </c>
      <c r="H45" s="17">
        <v>92</v>
      </c>
      <c r="I45" s="17">
        <v>154</v>
      </c>
      <c r="J45" s="5">
        <v>4.5999999999999996</v>
      </c>
      <c r="K45" s="5" t="s">
        <v>176</v>
      </c>
      <c r="L45" s="33" t="str">
        <f t="shared" si="0"/>
        <v>https://amazon.com/dp/B0BVML78W1</v>
      </c>
    </row>
    <row r="46" spans="1:12" x14ac:dyDescent="0.6">
      <c r="A46" s="15">
        <v>44</v>
      </c>
      <c r="B46" s="16" t="s">
        <v>177</v>
      </c>
      <c r="C46" s="5" t="s">
        <v>178</v>
      </c>
      <c r="D46" s="5" t="s">
        <v>34</v>
      </c>
      <c r="E46" s="6" t="s">
        <v>436</v>
      </c>
      <c r="F46" s="6">
        <v>131.28759036144581</v>
      </c>
      <c r="G46" s="6">
        <v>21793.74</v>
      </c>
      <c r="H46" s="17">
        <v>166</v>
      </c>
      <c r="I46" s="17">
        <v>3464</v>
      </c>
      <c r="J46" s="5">
        <v>4.5999999999999996</v>
      </c>
      <c r="K46" s="5" t="s">
        <v>179</v>
      </c>
      <c r="L46" s="33" t="str">
        <f t="shared" si="0"/>
        <v>https://amazon.com/dp/B08519F2W9</v>
      </c>
    </row>
    <row r="47" spans="1:12" x14ac:dyDescent="0.6">
      <c r="A47" s="15">
        <v>45</v>
      </c>
      <c r="B47" s="16" t="s">
        <v>180</v>
      </c>
      <c r="C47" s="5" t="s">
        <v>181</v>
      </c>
      <c r="D47" s="5" t="s">
        <v>182</v>
      </c>
      <c r="E47" s="6" t="s">
        <v>437</v>
      </c>
      <c r="F47" s="6">
        <v>37.213172905525838</v>
      </c>
      <c r="G47" s="6">
        <v>20876.59</v>
      </c>
      <c r="H47" s="17">
        <v>561</v>
      </c>
      <c r="I47" s="17">
        <v>391</v>
      </c>
      <c r="J47" s="5">
        <v>4.5999999999999996</v>
      </c>
      <c r="K47" s="5" t="s">
        <v>183</v>
      </c>
      <c r="L47" s="33" t="str">
        <f t="shared" si="0"/>
        <v>https://amazon.com/dp/B091L6L1GV</v>
      </c>
    </row>
    <row r="48" spans="1:12" x14ac:dyDescent="0.6">
      <c r="A48" s="15">
        <v>46</v>
      </c>
      <c r="B48" s="16" t="s">
        <v>184</v>
      </c>
      <c r="C48" s="5" t="s">
        <v>185</v>
      </c>
      <c r="D48" s="5" t="s">
        <v>35</v>
      </c>
      <c r="E48" s="6" t="s">
        <v>437</v>
      </c>
      <c r="F48" s="6">
        <v>152.61147286821699</v>
      </c>
      <c r="G48" s="6">
        <v>19686.88</v>
      </c>
      <c r="H48" s="17">
        <v>129</v>
      </c>
      <c r="I48" s="17">
        <v>143</v>
      </c>
      <c r="J48" s="5">
        <v>4.5999999999999996</v>
      </c>
      <c r="K48" s="5" t="s">
        <v>186</v>
      </c>
      <c r="L48" s="33" t="str">
        <f t="shared" si="0"/>
        <v>https://amazon.com/dp/B0CT5L1H9B</v>
      </c>
    </row>
    <row r="49" spans="1:12" x14ac:dyDescent="0.6">
      <c r="A49" s="15">
        <v>47</v>
      </c>
      <c r="B49" s="16" t="s">
        <v>187</v>
      </c>
      <c r="C49" s="5" t="s">
        <v>188</v>
      </c>
      <c r="D49" s="5" t="s">
        <v>36</v>
      </c>
      <c r="E49" s="6" t="s">
        <v>447</v>
      </c>
      <c r="F49" s="6">
        <v>219.9965517241379</v>
      </c>
      <c r="G49" s="6">
        <v>19139.7</v>
      </c>
      <c r="H49" s="17">
        <v>87</v>
      </c>
      <c r="I49" s="17">
        <v>46</v>
      </c>
      <c r="J49" s="5">
        <v>3.9</v>
      </c>
      <c r="K49" s="5" t="s">
        <v>189</v>
      </c>
      <c r="L49" s="33" t="str">
        <f t="shared" si="0"/>
        <v>https://amazon.com/dp/B0CJ8TBWG8</v>
      </c>
    </row>
    <row r="50" spans="1:12" x14ac:dyDescent="0.6">
      <c r="A50" s="15">
        <v>48</v>
      </c>
      <c r="B50" s="16" t="s">
        <v>190</v>
      </c>
      <c r="C50" s="5" t="s">
        <v>191</v>
      </c>
      <c r="D50" s="5" t="s">
        <v>192</v>
      </c>
      <c r="E50" s="6" t="s">
        <v>447</v>
      </c>
      <c r="F50" s="6">
        <v>95.895743589743574</v>
      </c>
      <c r="G50" s="6">
        <v>18699.669999999998</v>
      </c>
      <c r="H50" s="17">
        <v>195</v>
      </c>
      <c r="I50" s="17">
        <v>111</v>
      </c>
      <c r="J50" s="5">
        <v>4.5999999999999996</v>
      </c>
      <c r="K50" s="5" t="s">
        <v>193</v>
      </c>
      <c r="L50" s="33" t="str">
        <f t="shared" si="0"/>
        <v>https://amazon.com/dp/B0D8SDT9HT</v>
      </c>
    </row>
    <row r="51" spans="1:12" x14ac:dyDescent="0.6">
      <c r="A51" s="15">
        <v>49</v>
      </c>
      <c r="B51" s="16" t="s">
        <v>194</v>
      </c>
      <c r="C51" s="5" t="s">
        <v>195</v>
      </c>
      <c r="D51" s="5" t="s">
        <v>43</v>
      </c>
      <c r="E51" s="6" t="s">
        <v>447</v>
      </c>
      <c r="F51" s="6">
        <v>110.2241666666667</v>
      </c>
      <c r="G51" s="6">
        <v>18517.66</v>
      </c>
      <c r="H51" s="17">
        <v>168</v>
      </c>
      <c r="I51" s="17">
        <v>29</v>
      </c>
      <c r="J51" s="5">
        <v>4.9000000000000004</v>
      </c>
      <c r="K51" s="5" t="s">
        <v>196</v>
      </c>
      <c r="L51" s="33" t="str">
        <f t="shared" si="0"/>
        <v>https://amazon.com/dp/B0DHRPXGRL</v>
      </c>
    </row>
    <row r="52" spans="1:12" x14ac:dyDescent="0.6">
      <c r="A52" s="15">
        <v>50</v>
      </c>
      <c r="B52" s="16" t="s">
        <v>197</v>
      </c>
      <c r="C52" s="5" t="s">
        <v>198</v>
      </c>
      <c r="D52" s="5" t="s">
        <v>199</v>
      </c>
      <c r="E52" s="6" t="s">
        <v>440</v>
      </c>
      <c r="F52" s="6">
        <v>50.04810888252149</v>
      </c>
      <c r="G52" s="6">
        <v>17466.79</v>
      </c>
      <c r="H52" s="17">
        <v>349</v>
      </c>
      <c r="I52" s="17">
        <v>3482</v>
      </c>
      <c r="J52" s="5">
        <v>4.3</v>
      </c>
      <c r="K52" s="5" t="s">
        <v>200</v>
      </c>
      <c r="L52" s="33" t="str">
        <f t="shared" si="0"/>
        <v>https://amazon.com/dp/B07PBW52SF</v>
      </c>
    </row>
    <row r="53" spans="1:12" x14ac:dyDescent="0.6">
      <c r="E53" s="6"/>
      <c r="F53" s="6"/>
      <c r="G53" s="6"/>
      <c r="H53" s="17"/>
      <c r="I53" s="17"/>
      <c r="K53" s="26"/>
    </row>
    <row r="54" spans="1:12" x14ac:dyDescent="0.6">
      <c r="E54" s="6"/>
      <c r="F54" s="6"/>
      <c r="G54" s="6"/>
      <c r="H54" s="17"/>
      <c r="I54" s="17"/>
    </row>
    <row r="55" spans="1:12" ht="26.1" x14ac:dyDescent="0.85">
      <c r="A55" s="105" t="s">
        <v>32</v>
      </c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</row>
    <row r="56" spans="1:12" x14ac:dyDescent="0.6">
      <c r="A56" s="61" t="s">
        <v>25</v>
      </c>
      <c r="B56" s="62" t="s">
        <v>6</v>
      </c>
      <c r="C56" s="62" t="s">
        <v>7</v>
      </c>
      <c r="D56" s="62" t="s">
        <v>0</v>
      </c>
      <c r="E56" s="63" t="s">
        <v>435</v>
      </c>
      <c r="F56" s="63" t="s">
        <v>8</v>
      </c>
      <c r="G56" s="64" t="s">
        <v>17</v>
      </c>
      <c r="H56" s="65" t="s">
        <v>16</v>
      </c>
      <c r="I56" s="66" t="s">
        <v>9</v>
      </c>
      <c r="J56" s="67" t="s">
        <v>10</v>
      </c>
      <c r="K56" s="67" t="s">
        <v>24</v>
      </c>
      <c r="L56" s="67" t="s">
        <v>11</v>
      </c>
    </row>
    <row r="57" spans="1:12" x14ac:dyDescent="0.6">
      <c r="A57" s="15">
        <v>1</v>
      </c>
      <c r="B57" s="5" t="s">
        <v>239</v>
      </c>
      <c r="C57" s="18" t="s">
        <v>240</v>
      </c>
      <c r="D57" s="19" t="s">
        <v>238</v>
      </c>
      <c r="E57" s="6" t="s">
        <v>438</v>
      </c>
      <c r="F57" s="6">
        <v>25.99</v>
      </c>
      <c r="G57" s="6">
        <v>116955</v>
      </c>
      <c r="H57" s="17">
        <v>4500</v>
      </c>
      <c r="I57" s="17">
        <v>1548</v>
      </c>
      <c r="J57" s="5">
        <v>4.3</v>
      </c>
      <c r="K57" s="5" t="s">
        <v>241</v>
      </c>
      <c r="L57" s="33" t="str">
        <f t="shared" si="0"/>
        <v>https://amazon.com/dp/B0C4V5LWWL</v>
      </c>
    </row>
    <row r="58" spans="1:12" x14ac:dyDescent="0.6">
      <c r="A58" s="15">
        <v>2</v>
      </c>
      <c r="B58" s="5" t="s">
        <v>59</v>
      </c>
      <c r="C58" s="18" t="s">
        <v>60</v>
      </c>
      <c r="D58" s="19" t="s">
        <v>37</v>
      </c>
      <c r="E58" s="6" t="s">
        <v>437</v>
      </c>
      <c r="F58" s="6">
        <v>41.444117459304181</v>
      </c>
      <c r="G58" s="6">
        <v>129844.42</v>
      </c>
      <c r="H58" s="17">
        <v>3133</v>
      </c>
      <c r="I58" s="17">
        <v>989</v>
      </c>
      <c r="J58" s="5">
        <v>4.5999999999999996</v>
      </c>
      <c r="K58" s="5" t="s">
        <v>61</v>
      </c>
      <c r="L58" s="33" t="str">
        <f t="shared" si="0"/>
        <v>https://amazon.com/dp/B0CFF8Z1NF</v>
      </c>
    </row>
    <row r="59" spans="1:12" x14ac:dyDescent="0.6">
      <c r="A59" s="15">
        <v>3</v>
      </c>
      <c r="B59" s="5" t="s">
        <v>53</v>
      </c>
      <c r="C59" s="18" t="s">
        <v>54</v>
      </c>
      <c r="D59" s="19" t="s">
        <v>35</v>
      </c>
      <c r="E59" s="6" t="s">
        <v>437</v>
      </c>
      <c r="F59" s="6">
        <v>63.776024981631153</v>
      </c>
      <c r="G59" s="6">
        <v>173598.34</v>
      </c>
      <c r="H59" s="17">
        <v>2722</v>
      </c>
      <c r="I59" s="17">
        <v>6096</v>
      </c>
      <c r="J59" s="5">
        <v>4.5</v>
      </c>
      <c r="K59" s="5" t="s">
        <v>55</v>
      </c>
      <c r="L59" s="33" t="str">
        <f t="shared" si="0"/>
        <v>https://amazon.com/dp/B0928Q3T42</v>
      </c>
    </row>
    <row r="60" spans="1:12" x14ac:dyDescent="0.6">
      <c r="A60" s="15">
        <v>4</v>
      </c>
      <c r="B60" s="5" t="s">
        <v>68</v>
      </c>
      <c r="C60" s="18" t="s">
        <v>69</v>
      </c>
      <c r="D60" s="19" t="s">
        <v>40</v>
      </c>
      <c r="E60" s="6" t="s">
        <v>436</v>
      </c>
      <c r="F60" s="6">
        <v>37.597973408541499</v>
      </c>
      <c r="G60" s="6">
        <v>93318.17</v>
      </c>
      <c r="H60" s="17">
        <v>2482</v>
      </c>
      <c r="I60" s="17">
        <v>531</v>
      </c>
      <c r="J60" s="5">
        <v>4.5999999999999996</v>
      </c>
      <c r="K60" s="5" t="s">
        <v>70</v>
      </c>
      <c r="L60" s="33" t="str">
        <f t="shared" si="0"/>
        <v>https://amazon.com/dp/B0CP538LN1</v>
      </c>
    </row>
    <row r="61" spans="1:12" x14ac:dyDescent="0.6">
      <c r="A61" s="15">
        <v>5</v>
      </c>
      <c r="B61" s="5" t="s">
        <v>71</v>
      </c>
      <c r="C61" s="18" t="s">
        <v>72</v>
      </c>
      <c r="D61" s="19" t="s">
        <v>38</v>
      </c>
      <c r="E61" s="6" t="s">
        <v>437</v>
      </c>
      <c r="F61" s="6">
        <v>37.149725297252971</v>
      </c>
      <c r="G61" s="6">
        <v>90608.18</v>
      </c>
      <c r="H61" s="17">
        <v>2439</v>
      </c>
      <c r="I61" s="17">
        <v>2494</v>
      </c>
      <c r="J61" s="5">
        <v>4.4000000000000004</v>
      </c>
      <c r="K61" s="5" t="s">
        <v>73</v>
      </c>
      <c r="L61" s="33" t="str">
        <f t="shared" si="0"/>
        <v>https://amazon.com/dp/B0C3R381FC</v>
      </c>
    </row>
    <row r="62" spans="1:12" x14ac:dyDescent="0.6">
      <c r="A62" s="15">
        <v>6</v>
      </c>
      <c r="B62" s="5" t="s">
        <v>47</v>
      </c>
      <c r="C62" s="18" t="s">
        <v>48</v>
      </c>
      <c r="D62" s="19" t="s">
        <v>34</v>
      </c>
      <c r="E62" s="6" t="s">
        <v>447</v>
      </c>
      <c r="F62" s="6">
        <v>129.97422119037569</v>
      </c>
      <c r="G62" s="6">
        <v>307908.93</v>
      </c>
      <c r="H62" s="17">
        <v>2369</v>
      </c>
      <c r="I62" s="17">
        <v>484</v>
      </c>
      <c r="J62" s="5">
        <v>4.5999999999999996</v>
      </c>
      <c r="K62" s="5" t="s">
        <v>49</v>
      </c>
      <c r="L62" s="33" t="str">
        <f t="shared" si="0"/>
        <v>https://amazon.com/dp/B0CJY5C9QX</v>
      </c>
    </row>
    <row r="63" spans="1:12" x14ac:dyDescent="0.6">
      <c r="A63" s="15">
        <v>7</v>
      </c>
      <c r="B63" s="5" t="s">
        <v>98</v>
      </c>
      <c r="C63" s="18" t="s">
        <v>99</v>
      </c>
      <c r="D63" s="19" t="s">
        <v>44</v>
      </c>
      <c r="E63" s="6" t="s">
        <v>438</v>
      </c>
      <c r="F63" s="6">
        <v>26.93604951005673</v>
      </c>
      <c r="G63" s="6">
        <v>52229</v>
      </c>
      <c r="H63" s="17">
        <v>1939</v>
      </c>
      <c r="I63" s="17">
        <v>165</v>
      </c>
      <c r="J63" s="5">
        <v>4.3</v>
      </c>
      <c r="K63" s="5" t="s">
        <v>100</v>
      </c>
      <c r="L63" s="33" t="str">
        <f t="shared" si="0"/>
        <v>https://amazon.com/dp/B0DGFBCH38</v>
      </c>
    </row>
    <row r="64" spans="1:12" x14ac:dyDescent="0.6">
      <c r="A64" s="15">
        <v>8</v>
      </c>
      <c r="B64" s="5" t="s">
        <v>50</v>
      </c>
      <c r="C64" s="18" t="s">
        <v>51</v>
      </c>
      <c r="D64" s="19" t="s">
        <v>36</v>
      </c>
      <c r="E64" s="6" t="s">
        <v>447</v>
      </c>
      <c r="F64" s="6">
        <v>139.4190909090909</v>
      </c>
      <c r="G64" s="6">
        <v>243843.99</v>
      </c>
      <c r="H64" s="17">
        <v>1749</v>
      </c>
      <c r="I64" s="17">
        <v>1053</v>
      </c>
      <c r="J64" s="5">
        <v>4.5999999999999996</v>
      </c>
      <c r="K64" s="5" t="s">
        <v>52</v>
      </c>
      <c r="L64" s="33" t="str">
        <f t="shared" si="0"/>
        <v>https://amazon.com/dp/B0B28HRSBP</v>
      </c>
    </row>
    <row r="65" spans="1:12" x14ac:dyDescent="0.6">
      <c r="A65" s="15">
        <v>9</v>
      </c>
      <c r="B65" s="5" t="s">
        <v>86</v>
      </c>
      <c r="C65" s="18" t="s">
        <v>87</v>
      </c>
      <c r="D65" s="19" t="s">
        <v>38</v>
      </c>
      <c r="E65" s="6" t="s">
        <v>436</v>
      </c>
      <c r="F65" s="6">
        <v>38.009591836734693</v>
      </c>
      <c r="G65" s="6">
        <v>63323.98</v>
      </c>
      <c r="H65" s="17">
        <v>1666</v>
      </c>
      <c r="I65" s="17">
        <v>1189</v>
      </c>
      <c r="J65" s="5">
        <v>4.4000000000000004</v>
      </c>
      <c r="K65" s="5" t="s">
        <v>88</v>
      </c>
      <c r="L65" s="33" t="str">
        <f t="shared" si="0"/>
        <v>https://amazon.com/dp/B0BXSMSS7M</v>
      </c>
    </row>
    <row r="66" spans="1:12" x14ac:dyDescent="0.6">
      <c r="A66" s="15">
        <v>10</v>
      </c>
      <c r="B66" s="5" t="s">
        <v>111</v>
      </c>
      <c r="C66" s="18" t="s">
        <v>112</v>
      </c>
      <c r="D66" s="19" t="s">
        <v>113</v>
      </c>
      <c r="E66" s="6" t="s">
        <v>438</v>
      </c>
      <c r="F66" s="6">
        <v>25.987825242718451</v>
      </c>
      <c r="G66" s="6">
        <v>40151.19</v>
      </c>
      <c r="H66" s="17">
        <v>1545</v>
      </c>
      <c r="I66" s="17">
        <v>526</v>
      </c>
      <c r="J66" s="5">
        <v>4.3</v>
      </c>
      <c r="K66" s="5" t="s">
        <v>114</v>
      </c>
      <c r="L66" s="33" t="str">
        <f t="shared" si="0"/>
        <v>https://amazon.com/dp/B0CG46T9ZF</v>
      </c>
    </row>
    <row r="67" spans="1:12" x14ac:dyDescent="0.6">
      <c r="A67" s="15">
        <v>11</v>
      </c>
      <c r="B67" s="5" t="s">
        <v>242</v>
      </c>
      <c r="C67" s="18" t="s">
        <v>243</v>
      </c>
      <c r="D67" s="19" t="s">
        <v>238</v>
      </c>
      <c r="E67" s="6" t="s">
        <v>438</v>
      </c>
      <c r="F67" s="6">
        <v>35.99</v>
      </c>
      <c r="G67" s="6">
        <v>53985</v>
      </c>
      <c r="H67" s="17">
        <v>1500</v>
      </c>
      <c r="I67" s="17">
        <v>4574</v>
      </c>
      <c r="J67" s="5">
        <v>4.3</v>
      </c>
      <c r="K67" s="5" t="s">
        <v>244</v>
      </c>
      <c r="L67" s="33" t="str">
        <f t="shared" ref="L67:L106" si="1">HYPERLINK(K67)</f>
        <v>https://amazon.com/dp/B0C9JR3N4W</v>
      </c>
    </row>
    <row r="68" spans="1:12" x14ac:dyDescent="0.6">
      <c r="A68" s="15">
        <v>12</v>
      </c>
      <c r="B68" s="5" t="s">
        <v>138</v>
      </c>
      <c r="C68" s="18" t="s">
        <v>139</v>
      </c>
      <c r="D68" s="19" t="s">
        <v>45</v>
      </c>
      <c r="E68" s="6" t="s">
        <v>438</v>
      </c>
      <c r="F68" s="6">
        <v>21.822619212163101</v>
      </c>
      <c r="G68" s="6">
        <v>31577.33</v>
      </c>
      <c r="H68" s="17">
        <v>1447</v>
      </c>
      <c r="I68" s="17">
        <v>1226</v>
      </c>
      <c r="J68" s="5">
        <v>4.5</v>
      </c>
      <c r="K68" s="5" t="s">
        <v>140</v>
      </c>
      <c r="L68" s="33" t="str">
        <f t="shared" si="1"/>
        <v>https://amazon.com/dp/B0CC27QRQ6</v>
      </c>
    </row>
    <row r="69" spans="1:12" x14ac:dyDescent="0.6">
      <c r="A69" s="15">
        <v>13</v>
      </c>
      <c r="B69" s="5" t="s">
        <v>128</v>
      </c>
      <c r="C69" s="18" t="s">
        <v>129</v>
      </c>
      <c r="D69" s="19" t="s">
        <v>130</v>
      </c>
      <c r="E69" s="6" t="s">
        <v>438</v>
      </c>
      <c r="F69" s="6">
        <v>24.910711692084242</v>
      </c>
      <c r="G69" s="6">
        <v>34302.050000000003</v>
      </c>
      <c r="H69" s="17">
        <v>1377</v>
      </c>
      <c r="I69" s="17">
        <v>656</v>
      </c>
      <c r="J69" s="5">
        <v>4.3</v>
      </c>
      <c r="K69" s="5" t="s">
        <v>131</v>
      </c>
      <c r="L69" s="33" t="str">
        <f t="shared" si="1"/>
        <v>https://amazon.com/dp/B0CKQH4VZY</v>
      </c>
    </row>
    <row r="70" spans="1:12" x14ac:dyDescent="0.6">
      <c r="A70" s="15">
        <v>14</v>
      </c>
      <c r="B70" s="5" t="s">
        <v>107</v>
      </c>
      <c r="C70" s="18" t="s">
        <v>108</v>
      </c>
      <c r="D70" s="19" t="s">
        <v>109</v>
      </c>
      <c r="E70" s="6" t="s">
        <v>437</v>
      </c>
      <c r="F70" s="6">
        <v>30.23452064896755</v>
      </c>
      <c r="G70" s="6">
        <v>40998.01</v>
      </c>
      <c r="H70" s="17">
        <v>1356</v>
      </c>
      <c r="I70" s="17">
        <v>1865</v>
      </c>
      <c r="J70" s="5">
        <v>4.3</v>
      </c>
      <c r="K70" s="5" t="s">
        <v>110</v>
      </c>
      <c r="L70" s="33" t="str">
        <f t="shared" si="1"/>
        <v>https://amazon.com/dp/B0C2P7TP2V</v>
      </c>
    </row>
    <row r="71" spans="1:12" x14ac:dyDescent="0.6">
      <c r="A71" s="15">
        <v>15</v>
      </c>
      <c r="B71" s="5" t="s">
        <v>104</v>
      </c>
      <c r="C71" s="18" t="s">
        <v>105</v>
      </c>
      <c r="D71" s="19" t="s">
        <v>37</v>
      </c>
      <c r="E71" s="6" t="s">
        <v>437</v>
      </c>
      <c r="F71" s="6">
        <v>36.379925037481257</v>
      </c>
      <c r="G71" s="6">
        <v>48530.82</v>
      </c>
      <c r="H71" s="17">
        <v>1334</v>
      </c>
      <c r="I71" s="17">
        <v>989</v>
      </c>
      <c r="J71" s="5">
        <v>4.5999999999999996</v>
      </c>
      <c r="K71" s="5" t="s">
        <v>106</v>
      </c>
      <c r="L71" s="33" t="str">
        <f t="shared" si="1"/>
        <v>https://amazon.com/dp/B0CXHYT8H8</v>
      </c>
    </row>
    <row r="72" spans="1:12" x14ac:dyDescent="0.6">
      <c r="A72" s="15">
        <v>16</v>
      </c>
      <c r="B72" s="5" t="s">
        <v>101</v>
      </c>
      <c r="C72" s="18" t="s">
        <v>102</v>
      </c>
      <c r="D72" s="19" t="s">
        <v>34</v>
      </c>
      <c r="E72" s="6" t="s">
        <v>438</v>
      </c>
      <c r="F72" s="6">
        <v>39.989022498060507</v>
      </c>
      <c r="G72" s="6">
        <v>51545.85</v>
      </c>
      <c r="H72" s="17">
        <v>1289</v>
      </c>
      <c r="I72" s="17">
        <v>377</v>
      </c>
      <c r="J72" s="5">
        <v>3.9</v>
      </c>
      <c r="K72" s="5" t="s">
        <v>103</v>
      </c>
      <c r="L72" s="33" t="str">
        <f t="shared" si="1"/>
        <v>https://amazon.com/dp/B0CL4KT182</v>
      </c>
    </row>
    <row r="73" spans="1:12" x14ac:dyDescent="0.6">
      <c r="A73" s="15">
        <v>17</v>
      </c>
      <c r="B73" s="5" t="s">
        <v>245</v>
      </c>
      <c r="C73" s="18" t="s">
        <v>246</v>
      </c>
      <c r="D73" s="19" t="s">
        <v>223</v>
      </c>
      <c r="E73" s="6" t="s">
        <v>438</v>
      </c>
      <c r="F73" s="6">
        <v>21.58</v>
      </c>
      <c r="G73" s="6">
        <v>27385.02</v>
      </c>
      <c r="H73" s="17">
        <v>1269</v>
      </c>
      <c r="I73" s="17">
        <v>1601</v>
      </c>
      <c r="J73" s="5">
        <v>4.4000000000000004</v>
      </c>
      <c r="K73" s="5" t="s">
        <v>247</v>
      </c>
      <c r="L73" s="33" t="str">
        <f t="shared" si="1"/>
        <v>https://amazon.com/dp/B0CZHT2VHS</v>
      </c>
    </row>
    <row r="74" spans="1:12" x14ac:dyDescent="0.6">
      <c r="A74" s="15">
        <v>18</v>
      </c>
      <c r="B74" s="5" t="s">
        <v>122</v>
      </c>
      <c r="C74" s="18" t="s">
        <v>123</v>
      </c>
      <c r="D74" s="19" t="s">
        <v>46</v>
      </c>
      <c r="E74" s="6" t="s">
        <v>438</v>
      </c>
      <c r="F74" s="6">
        <v>32.446207497820403</v>
      </c>
      <c r="G74" s="6">
        <v>37215.800000000003</v>
      </c>
      <c r="H74" s="17">
        <v>1147</v>
      </c>
      <c r="I74" s="17">
        <v>525</v>
      </c>
      <c r="J74" s="5">
        <v>4.4000000000000004</v>
      </c>
      <c r="K74" s="5" t="s">
        <v>124</v>
      </c>
      <c r="L74" s="33" t="str">
        <f t="shared" si="1"/>
        <v>https://amazon.com/dp/B0C9C4H2ZH</v>
      </c>
    </row>
    <row r="75" spans="1:12" x14ac:dyDescent="0.6">
      <c r="A75" s="15">
        <v>19</v>
      </c>
      <c r="B75" s="5" t="s">
        <v>56</v>
      </c>
      <c r="C75" s="18" t="s">
        <v>57</v>
      </c>
      <c r="D75" s="19" t="s">
        <v>35</v>
      </c>
      <c r="E75" s="6" t="s">
        <v>437</v>
      </c>
      <c r="F75" s="6">
        <v>129.94307142857139</v>
      </c>
      <c r="G75" s="6">
        <v>145536.24</v>
      </c>
      <c r="H75" s="17">
        <v>1120</v>
      </c>
      <c r="I75" s="17">
        <v>1784</v>
      </c>
      <c r="J75" s="5">
        <v>4.4000000000000004</v>
      </c>
      <c r="K75" s="5" t="s">
        <v>58</v>
      </c>
      <c r="L75" s="33" t="str">
        <f t="shared" si="1"/>
        <v>https://amazon.com/dp/B0BS1CFFH8</v>
      </c>
    </row>
    <row r="76" spans="1:12" x14ac:dyDescent="0.6">
      <c r="A76" s="15">
        <v>20</v>
      </c>
      <c r="B76" s="5" t="s">
        <v>163</v>
      </c>
      <c r="C76" s="18" t="s">
        <v>164</v>
      </c>
      <c r="D76" s="19" t="s">
        <v>165</v>
      </c>
      <c r="E76" s="6" t="s">
        <v>438</v>
      </c>
      <c r="F76" s="6">
        <v>21.50968372093023</v>
      </c>
      <c r="G76" s="6">
        <v>23122.91</v>
      </c>
      <c r="H76" s="17">
        <v>1075</v>
      </c>
      <c r="I76" s="17">
        <v>585</v>
      </c>
      <c r="J76" s="5">
        <v>4.2</v>
      </c>
      <c r="K76" s="5" t="s">
        <v>166</v>
      </c>
      <c r="L76" s="33" t="str">
        <f t="shared" si="1"/>
        <v>https://amazon.com/dp/B0CCHSCYCL</v>
      </c>
    </row>
    <row r="77" spans="1:12" x14ac:dyDescent="0.6">
      <c r="A77" s="15">
        <v>21</v>
      </c>
      <c r="B77" s="5" t="s">
        <v>80</v>
      </c>
      <c r="C77" s="18" t="s">
        <v>81</v>
      </c>
      <c r="D77" s="19" t="s">
        <v>35</v>
      </c>
      <c r="E77" s="6" t="s">
        <v>437</v>
      </c>
      <c r="F77" s="6">
        <v>68.750386904761911</v>
      </c>
      <c r="G77" s="6">
        <v>69300.39</v>
      </c>
      <c r="H77" s="17">
        <v>1008</v>
      </c>
      <c r="I77" s="17">
        <v>485</v>
      </c>
      <c r="J77" s="5">
        <v>4.5999999999999996</v>
      </c>
      <c r="K77" s="5" t="s">
        <v>82</v>
      </c>
      <c r="L77" s="33" t="str">
        <f t="shared" si="1"/>
        <v>https://amazon.com/dp/B0CT2CX59S</v>
      </c>
    </row>
    <row r="78" spans="1:12" x14ac:dyDescent="0.6">
      <c r="A78" s="15">
        <v>22</v>
      </c>
      <c r="B78" s="5" t="s">
        <v>89</v>
      </c>
      <c r="C78" s="18" t="s">
        <v>90</v>
      </c>
      <c r="D78" s="19" t="s">
        <v>35</v>
      </c>
      <c r="E78" s="6" t="s">
        <v>439</v>
      </c>
      <c r="F78" s="6">
        <v>54.972591836734694</v>
      </c>
      <c r="G78" s="6">
        <v>53873.14</v>
      </c>
      <c r="H78" s="17">
        <v>980</v>
      </c>
      <c r="I78" s="17">
        <v>2494</v>
      </c>
      <c r="J78" s="5">
        <v>4.4000000000000004</v>
      </c>
      <c r="K78" s="5" t="s">
        <v>91</v>
      </c>
      <c r="L78" s="33" t="str">
        <f t="shared" si="1"/>
        <v>https://amazon.com/dp/B08NJ8627V</v>
      </c>
    </row>
    <row r="79" spans="1:12" x14ac:dyDescent="0.6">
      <c r="A79" s="15">
        <v>23</v>
      </c>
      <c r="B79" s="5" t="s">
        <v>151</v>
      </c>
      <c r="C79" s="18" t="s">
        <v>152</v>
      </c>
      <c r="D79" s="19" t="s">
        <v>153</v>
      </c>
      <c r="E79" s="6" t="s">
        <v>437</v>
      </c>
      <c r="F79" s="6">
        <v>29.69231732776618</v>
      </c>
      <c r="G79" s="6">
        <v>28445.24</v>
      </c>
      <c r="H79" s="17">
        <v>958</v>
      </c>
      <c r="I79" s="17">
        <v>2298</v>
      </c>
      <c r="J79" s="5">
        <v>4.4000000000000004</v>
      </c>
      <c r="K79" s="5" t="s">
        <v>154</v>
      </c>
      <c r="L79" s="33" t="str">
        <f t="shared" si="1"/>
        <v>https://amazon.com/dp/B0BV98JZ22</v>
      </c>
    </row>
    <row r="80" spans="1:12" x14ac:dyDescent="0.6">
      <c r="A80" s="15">
        <v>24</v>
      </c>
      <c r="B80" s="5" t="s">
        <v>141</v>
      </c>
      <c r="C80" s="18" t="s">
        <v>142</v>
      </c>
      <c r="D80" s="19" t="s">
        <v>143</v>
      </c>
      <c r="E80" s="6" t="s">
        <v>437</v>
      </c>
      <c r="F80" s="6">
        <v>34.10588235294118</v>
      </c>
      <c r="G80" s="6">
        <v>31309.200000000001</v>
      </c>
      <c r="H80" s="17">
        <v>918</v>
      </c>
      <c r="I80" s="17">
        <v>331</v>
      </c>
      <c r="J80" s="5">
        <v>4.5999999999999996</v>
      </c>
      <c r="K80" s="5" t="s">
        <v>144</v>
      </c>
      <c r="L80" s="33" t="str">
        <f t="shared" si="1"/>
        <v>https://amazon.com/dp/B0CGJK3BWM</v>
      </c>
    </row>
    <row r="81" spans="1:12" x14ac:dyDescent="0.6">
      <c r="A81" s="15">
        <v>25</v>
      </c>
      <c r="B81" s="5" t="s">
        <v>125</v>
      </c>
      <c r="C81" s="18" t="s">
        <v>126</v>
      </c>
      <c r="D81" s="19" t="s">
        <v>43</v>
      </c>
      <c r="E81" s="6" t="s">
        <v>436</v>
      </c>
      <c r="F81" s="6">
        <v>40.010278099652382</v>
      </c>
      <c r="G81" s="6">
        <v>34528.870000000003</v>
      </c>
      <c r="H81" s="17">
        <v>863</v>
      </c>
      <c r="I81" s="17">
        <v>105</v>
      </c>
      <c r="J81" s="5">
        <v>4.7</v>
      </c>
      <c r="K81" s="5" t="s">
        <v>127</v>
      </c>
      <c r="L81" s="33" t="str">
        <f t="shared" si="1"/>
        <v>https://amazon.com/dp/B0D1VGWHJ4</v>
      </c>
    </row>
    <row r="82" spans="1:12" x14ac:dyDescent="0.6">
      <c r="A82" s="15">
        <v>26</v>
      </c>
      <c r="B82" s="5" t="s">
        <v>132</v>
      </c>
      <c r="C82" s="18" t="s">
        <v>133</v>
      </c>
      <c r="D82" s="19" t="s">
        <v>40</v>
      </c>
      <c r="E82" s="6" t="s">
        <v>437</v>
      </c>
      <c r="F82" s="6">
        <v>37.137386759581879</v>
      </c>
      <c r="G82" s="6">
        <v>31975.29</v>
      </c>
      <c r="H82" s="17">
        <v>861</v>
      </c>
      <c r="I82" s="17">
        <v>203</v>
      </c>
      <c r="J82" s="5">
        <v>4.5999999999999996</v>
      </c>
      <c r="K82" s="5" t="s">
        <v>134</v>
      </c>
      <c r="L82" s="33" t="str">
        <f t="shared" si="1"/>
        <v>https://amazon.com/dp/B0CW65T636</v>
      </c>
    </row>
    <row r="83" spans="1:12" x14ac:dyDescent="0.6">
      <c r="A83" s="15">
        <v>27</v>
      </c>
      <c r="B83" s="5" t="s">
        <v>62</v>
      </c>
      <c r="C83" s="18" t="s">
        <v>63</v>
      </c>
      <c r="D83" s="19" t="s">
        <v>41</v>
      </c>
      <c r="E83" s="6" t="s">
        <v>447</v>
      </c>
      <c r="F83" s="6">
        <v>129.9210582639715</v>
      </c>
      <c r="G83" s="6">
        <v>109263.61</v>
      </c>
      <c r="H83" s="17">
        <v>841</v>
      </c>
      <c r="I83" s="17">
        <v>102</v>
      </c>
      <c r="J83" s="5">
        <v>4.7</v>
      </c>
      <c r="K83" s="5" t="s">
        <v>64</v>
      </c>
      <c r="L83" s="33" t="str">
        <f t="shared" si="1"/>
        <v>https://amazon.com/dp/B0DFHL8YN5</v>
      </c>
    </row>
    <row r="84" spans="1:12" x14ac:dyDescent="0.6">
      <c r="A84" s="15">
        <v>28</v>
      </c>
      <c r="B84" s="5" t="s">
        <v>65</v>
      </c>
      <c r="C84" s="18" t="s">
        <v>66</v>
      </c>
      <c r="D84" s="19" t="s">
        <v>42</v>
      </c>
      <c r="E84" s="6" t="s">
        <v>447</v>
      </c>
      <c r="F84" s="6">
        <v>119.987869047619</v>
      </c>
      <c r="G84" s="6">
        <v>100789.81</v>
      </c>
      <c r="H84" s="17">
        <v>840</v>
      </c>
      <c r="I84" s="17">
        <v>152</v>
      </c>
      <c r="J84" s="5">
        <v>4.3</v>
      </c>
      <c r="K84" s="5" t="s">
        <v>67</v>
      </c>
      <c r="L84" s="33" t="str">
        <f t="shared" si="1"/>
        <v>https://amazon.com/dp/B0D9M3Q7FK</v>
      </c>
    </row>
    <row r="85" spans="1:12" x14ac:dyDescent="0.6">
      <c r="A85" s="15">
        <v>29</v>
      </c>
      <c r="B85" s="5" t="s">
        <v>171</v>
      </c>
      <c r="C85" s="18" t="s">
        <v>172</v>
      </c>
      <c r="D85" s="19" t="s">
        <v>43</v>
      </c>
      <c r="E85" s="6" t="s">
        <v>439</v>
      </c>
      <c r="F85" s="6">
        <v>29.98857887874837</v>
      </c>
      <c r="G85" s="6">
        <v>23001.24</v>
      </c>
      <c r="H85" s="17">
        <v>767</v>
      </c>
      <c r="I85" s="17">
        <v>5410</v>
      </c>
      <c r="J85" s="5">
        <v>4.3</v>
      </c>
      <c r="K85" s="5" t="s">
        <v>173</v>
      </c>
      <c r="L85" s="33" t="str">
        <f t="shared" si="1"/>
        <v>https://amazon.com/dp/B07C9C6P5D</v>
      </c>
    </row>
    <row r="86" spans="1:12" x14ac:dyDescent="0.6">
      <c r="A86" s="15">
        <v>30</v>
      </c>
      <c r="B86" s="5" t="s">
        <v>119</v>
      </c>
      <c r="C86" s="18" t="s">
        <v>120</v>
      </c>
      <c r="D86" s="19" t="s">
        <v>34</v>
      </c>
      <c r="E86" s="6" t="s">
        <v>438</v>
      </c>
      <c r="F86" s="6">
        <v>55.98104136947218</v>
      </c>
      <c r="G86" s="6">
        <v>39242.71</v>
      </c>
      <c r="H86" s="17">
        <v>701</v>
      </c>
      <c r="I86" s="17">
        <v>1990</v>
      </c>
      <c r="J86" s="5">
        <v>4.4000000000000004</v>
      </c>
      <c r="K86" s="5" t="s">
        <v>121</v>
      </c>
      <c r="L86" s="33" t="str">
        <f t="shared" si="1"/>
        <v>https://amazon.com/dp/B07TTQF24F</v>
      </c>
    </row>
    <row r="87" spans="1:12" x14ac:dyDescent="0.6">
      <c r="A87" s="15">
        <v>31</v>
      </c>
      <c r="B87" s="5" t="s">
        <v>74</v>
      </c>
      <c r="C87" s="18" t="s">
        <v>75</v>
      </c>
      <c r="D87" s="19" t="s">
        <v>34</v>
      </c>
      <c r="E87" s="6" t="s">
        <v>436</v>
      </c>
      <c r="F87" s="6">
        <v>150.1325460636516</v>
      </c>
      <c r="G87" s="6">
        <v>89629.13</v>
      </c>
      <c r="H87" s="17">
        <v>597</v>
      </c>
      <c r="I87" s="17">
        <v>3464</v>
      </c>
      <c r="J87" s="5">
        <v>4.5999999999999996</v>
      </c>
      <c r="K87" s="5" t="s">
        <v>76</v>
      </c>
      <c r="L87" s="33" t="str">
        <f t="shared" si="1"/>
        <v>https://amazon.com/dp/B07TV2BFVR</v>
      </c>
    </row>
    <row r="88" spans="1:12" x14ac:dyDescent="0.6">
      <c r="A88" s="15">
        <v>32</v>
      </c>
      <c r="B88" s="5" t="s">
        <v>148</v>
      </c>
      <c r="C88" s="18" t="s">
        <v>149</v>
      </c>
      <c r="D88" s="19" t="s">
        <v>35</v>
      </c>
      <c r="E88" s="6" t="s">
        <v>437</v>
      </c>
      <c r="F88" s="6">
        <v>49.985962199312723</v>
      </c>
      <c r="G88" s="6">
        <v>29091.83</v>
      </c>
      <c r="H88" s="17">
        <v>582</v>
      </c>
      <c r="I88" s="17">
        <v>169</v>
      </c>
      <c r="J88" s="5">
        <v>4.5</v>
      </c>
      <c r="K88" s="5" t="s">
        <v>150</v>
      </c>
      <c r="L88" s="33" t="str">
        <f t="shared" si="1"/>
        <v>https://amazon.com/dp/B0DD47VS7S</v>
      </c>
    </row>
    <row r="89" spans="1:12" x14ac:dyDescent="0.6">
      <c r="A89" s="15">
        <v>33</v>
      </c>
      <c r="B89" s="5" t="s">
        <v>180</v>
      </c>
      <c r="C89" s="18" t="s">
        <v>181</v>
      </c>
      <c r="D89" s="19" t="s">
        <v>182</v>
      </c>
      <c r="E89" s="6" t="s">
        <v>437</v>
      </c>
      <c r="F89" s="6">
        <v>37.213172905525838</v>
      </c>
      <c r="G89" s="6">
        <v>20876.59</v>
      </c>
      <c r="H89" s="17">
        <v>561</v>
      </c>
      <c r="I89" s="17">
        <v>391</v>
      </c>
      <c r="J89" s="5">
        <v>4.5999999999999996</v>
      </c>
      <c r="K89" s="5" t="s">
        <v>183</v>
      </c>
      <c r="L89" s="33" t="str">
        <f t="shared" si="1"/>
        <v>https://amazon.com/dp/B091L6L1GV</v>
      </c>
    </row>
    <row r="90" spans="1:12" x14ac:dyDescent="0.6">
      <c r="A90" s="15">
        <v>34</v>
      </c>
      <c r="B90" s="5" t="s">
        <v>201</v>
      </c>
      <c r="C90" s="18" t="s">
        <v>202</v>
      </c>
      <c r="D90" s="19" t="s">
        <v>45</v>
      </c>
      <c r="E90" s="6" t="s">
        <v>437</v>
      </c>
      <c r="F90" s="6">
        <v>30.087554347826089</v>
      </c>
      <c r="G90" s="6">
        <v>16608.330000000002</v>
      </c>
      <c r="H90" s="17">
        <v>552</v>
      </c>
      <c r="I90" s="17">
        <v>879</v>
      </c>
      <c r="J90" s="5">
        <v>4.4000000000000004</v>
      </c>
      <c r="K90" s="5" t="s">
        <v>203</v>
      </c>
      <c r="L90" s="33" t="str">
        <f t="shared" si="1"/>
        <v>https://amazon.com/dp/B0D9VS5FWY</v>
      </c>
    </row>
    <row r="91" spans="1:12" x14ac:dyDescent="0.6">
      <c r="A91" s="15">
        <v>35</v>
      </c>
      <c r="B91" s="5" t="s">
        <v>77</v>
      </c>
      <c r="C91" s="18" t="s">
        <v>78</v>
      </c>
      <c r="D91" s="19" t="s">
        <v>39</v>
      </c>
      <c r="E91" s="6" t="s">
        <v>447</v>
      </c>
      <c r="F91" s="6">
        <v>150.7980677290837</v>
      </c>
      <c r="G91" s="6">
        <v>75700.63</v>
      </c>
      <c r="H91" s="17">
        <v>502</v>
      </c>
      <c r="I91" s="17">
        <v>70</v>
      </c>
      <c r="J91" s="5">
        <v>4.7</v>
      </c>
      <c r="K91" s="5" t="s">
        <v>79</v>
      </c>
      <c r="L91" s="33" t="str">
        <f t="shared" si="1"/>
        <v>https://amazon.com/dp/B0D59Y7B2D</v>
      </c>
    </row>
    <row r="92" spans="1:12" x14ac:dyDescent="0.6">
      <c r="A92" s="15">
        <v>36</v>
      </c>
      <c r="B92" s="5" t="s">
        <v>204</v>
      </c>
      <c r="C92" s="18" t="s">
        <v>205</v>
      </c>
      <c r="D92" s="19" t="s">
        <v>206</v>
      </c>
      <c r="E92" s="6" t="s">
        <v>438</v>
      </c>
      <c r="F92" s="6">
        <v>23.250507099391481</v>
      </c>
      <c r="G92" s="6">
        <v>11462.5</v>
      </c>
      <c r="H92" s="17">
        <v>493</v>
      </c>
      <c r="I92" s="17">
        <v>160</v>
      </c>
      <c r="J92" s="5">
        <v>4.3</v>
      </c>
      <c r="K92" s="5" t="s">
        <v>207</v>
      </c>
      <c r="L92" s="33" t="str">
        <f t="shared" si="1"/>
        <v>https://amazon.com/dp/B0CTTSWBMV</v>
      </c>
    </row>
    <row r="93" spans="1:12" x14ac:dyDescent="0.6">
      <c r="A93" s="15">
        <v>37</v>
      </c>
      <c r="B93" s="5" t="s">
        <v>83</v>
      </c>
      <c r="C93" s="18" t="s">
        <v>84</v>
      </c>
      <c r="D93" s="19" t="s">
        <v>34</v>
      </c>
      <c r="E93" s="6" t="s">
        <v>447</v>
      </c>
      <c r="F93" s="6">
        <v>144.4350630252101</v>
      </c>
      <c r="G93" s="6">
        <v>68751.09</v>
      </c>
      <c r="H93" s="17">
        <v>476</v>
      </c>
      <c r="I93" s="17">
        <v>200</v>
      </c>
      <c r="J93" s="5">
        <v>4.5</v>
      </c>
      <c r="K93" s="5" t="s">
        <v>85</v>
      </c>
      <c r="L93" s="33" t="str">
        <f t="shared" si="1"/>
        <v>https://amazon.com/dp/B0CJY6SWBN</v>
      </c>
    </row>
    <row r="94" spans="1:12" x14ac:dyDescent="0.6">
      <c r="A94" s="15">
        <v>38</v>
      </c>
      <c r="B94" s="5" t="s">
        <v>208</v>
      </c>
      <c r="C94" s="18" t="s">
        <v>209</v>
      </c>
      <c r="D94" s="19" t="s">
        <v>210</v>
      </c>
      <c r="E94" s="6" t="s">
        <v>438</v>
      </c>
      <c r="F94" s="6">
        <v>23.983298097251591</v>
      </c>
      <c r="G94" s="6">
        <v>11344.1</v>
      </c>
      <c r="H94" s="17">
        <v>473</v>
      </c>
      <c r="I94" s="17">
        <v>272</v>
      </c>
      <c r="J94" s="5">
        <v>4.3</v>
      </c>
      <c r="K94" s="5" t="s">
        <v>211</v>
      </c>
      <c r="L94" s="33" t="str">
        <f t="shared" si="1"/>
        <v>https://amazon.com/dp/B0CR4C4PM3</v>
      </c>
    </row>
    <row r="95" spans="1:12" x14ac:dyDescent="0.6">
      <c r="A95" s="15">
        <v>39</v>
      </c>
      <c r="B95" s="5" t="s">
        <v>212</v>
      </c>
      <c r="C95" s="18" t="s">
        <v>213</v>
      </c>
      <c r="D95" s="19" t="s">
        <v>169</v>
      </c>
      <c r="E95" s="6" t="s">
        <v>436</v>
      </c>
      <c r="F95" s="6">
        <v>29.972217391304351</v>
      </c>
      <c r="G95" s="6">
        <v>13787.22</v>
      </c>
      <c r="H95" s="17">
        <v>460</v>
      </c>
      <c r="I95" s="17">
        <v>412</v>
      </c>
      <c r="J95" s="5">
        <v>4.5</v>
      </c>
      <c r="K95" s="5" t="s">
        <v>214</v>
      </c>
      <c r="L95" s="33" t="str">
        <f t="shared" si="1"/>
        <v>https://amazon.com/dp/B0CB6JML8N</v>
      </c>
    </row>
    <row r="96" spans="1:12" x14ac:dyDescent="0.6">
      <c r="A96" s="15">
        <v>40</v>
      </c>
      <c r="B96" s="5" t="s">
        <v>159</v>
      </c>
      <c r="C96" s="18" t="s">
        <v>160</v>
      </c>
      <c r="D96" s="19" t="s">
        <v>161</v>
      </c>
      <c r="E96" s="6" t="s">
        <v>437</v>
      </c>
      <c r="F96" s="6">
        <v>56.23866520787746</v>
      </c>
      <c r="G96" s="6">
        <v>25701.07</v>
      </c>
      <c r="H96" s="17">
        <v>457</v>
      </c>
      <c r="I96" s="17">
        <v>93</v>
      </c>
      <c r="J96" s="5">
        <v>4.8</v>
      </c>
      <c r="K96" s="5" t="s">
        <v>162</v>
      </c>
      <c r="L96" s="33" t="str">
        <f t="shared" si="1"/>
        <v>https://amazon.com/dp/B0DFGTYXD5</v>
      </c>
    </row>
    <row r="97" spans="1:12" x14ac:dyDescent="0.6">
      <c r="A97" s="15">
        <v>41</v>
      </c>
      <c r="B97" s="5" t="s">
        <v>215</v>
      </c>
      <c r="C97" s="18" t="s">
        <v>216</v>
      </c>
      <c r="D97" s="19" t="s">
        <v>182</v>
      </c>
      <c r="E97" s="6" t="s">
        <v>438</v>
      </c>
      <c r="F97" s="6">
        <v>20.96811111111111</v>
      </c>
      <c r="G97" s="6">
        <v>9435.65</v>
      </c>
      <c r="H97" s="17">
        <v>450</v>
      </c>
      <c r="I97" s="17">
        <v>118</v>
      </c>
      <c r="J97" s="5">
        <v>4.0999999999999996</v>
      </c>
      <c r="K97" s="5" t="s">
        <v>217</v>
      </c>
      <c r="L97" s="33" t="str">
        <f t="shared" si="1"/>
        <v>https://amazon.com/dp/B0D2X21JQY</v>
      </c>
    </row>
    <row r="98" spans="1:12" x14ac:dyDescent="0.6">
      <c r="A98" s="15">
        <v>42</v>
      </c>
      <c r="B98" s="5" t="s">
        <v>95</v>
      </c>
      <c r="C98" s="18" t="s">
        <v>96</v>
      </c>
      <c r="D98" s="19" t="s">
        <v>35</v>
      </c>
      <c r="E98" s="6" t="s">
        <v>447</v>
      </c>
      <c r="F98" s="6">
        <v>121.4450460829493</v>
      </c>
      <c r="G98" s="6">
        <v>52707.15</v>
      </c>
      <c r="H98" s="17">
        <v>434</v>
      </c>
      <c r="I98" s="17">
        <v>208</v>
      </c>
      <c r="J98" s="5">
        <v>4.5</v>
      </c>
      <c r="K98" s="5" t="s">
        <v>97</v>
      </c>
      <c r="L98" s="33" t="str">
        <f t="shared" si="1"/>
        <v>https://amazon.com/dp/B0DBZ6Q4YH</v>
      </c>
    </row>
    <row r="99" spans="1:12" x14ac:dyDescent="0.6">
      <c r="A99" s="15">
        <v>43</v>
      </c>
      <c r="B99" s="5" t="s">
        <v>218</v>
      </c>
      <c r="C99" s="18" t="s">
        <v>219</v>
      </c>
      <c r="D99" s="19" t="s">
        <v>44</v>
      </c>
      <c r="E99" s="6" t="s">
        <v>438</v>
      </c>
      <c r="F99" s="6">
        <v>32.744549653579668</v>
      </c>
      <c r="G99" s="6">
        <v>14178.39</v>
      </c>
      <c r="H99" s="17">
        <v>433</v>
      </c>
      <c r="I99" s="17">
        <v>187</v>
      </c>
      <c r="J99" s="5">
        <v>4.3</v>
      </c>
      <c r="K99" s="5" t="s">
        <v>220</v>
      </c>
      <c r="L99" s="33" t="str">
        <f t="shared" si="1"/>
        <v>https://amazon.com/dp/B0DGFC3D9H</v>
      </c>
    </row>
    <row r="100" spans="1:12" x14ac:dyDescent="0.6">
      <c r="A100" s="15">
        <v>44</v>
      </c>
      <c r="B100" s="5" t="s">
        <v>221</v>
      </c>
      <c r="C100" s="18" t="s">
        <v>222</v>
      </c>
      <c r="D100" s="19" t="s">
        <v>223</v>
      </c>
      <c r="E100" s="6" t="s">
        <v>437</v>
      </c>
      <c r="F100" s="6">
        <v>39.100660377358487</v>
      </c>
      <c r="G100" s="6">
        <v>16578.68</v>
      </c>
      <c r="H100" s="17">
        <v>424</v>
      </c>
      <c r="I100" s="17">
        <v>546</v>
      </c>
      <c r="J100" s="5">
        <v>4.5</v>
      </c>
      <c r="K100" s="5" t="s">
        <v>224</v>
      </c>
      <c r="L100" s="33" t="str">
        <f t="shared" si="1"/>
        <v>https://amazon.com/dp/B0D5QZBDRX</v>
      </c>
    </row>
    <row r="101" spans="1:12" x14ac:dyDescent="0.6">
      <c r="A101" s="15">
        <v>45</v>
      </c>
      <c r="B101" s="5" t="s">
        <v>225</v>
      </c>
      <c r="C101" s="18" t="s">
        <v>226</v>
      </c>
      <c r="D101" s="19" t="s">
        <v>227</v>
      </c>
      <c r="E101" s="6" t="s">
        <v>437</v>
      </c>
      <c r="F101" s="6">
        <v>37.718321513002373</v>
      </c>
      <c r="G101" s="6">
        <v>15954.85</v>
      </c>
      <c r="H101" s="17">
        <v>423</v>
      </c>
      <c r="I101" s="17">
        <v>87</v>
      </c>
      <c r="J101" s="5">
        <v>4.2</v>
      </c>
      <c r="K101" s="5" t="s">
        <v>228</v>
      </c>
      <c r="L101" s="33" t="str">
        <f t="shared" si="1"/>
        <v>https://amazon.com/dp/B0D2KRN3XR</v>
      </c>
    </row>
    <row r="102" spans="1:12" x14ac:dyDescent="0.6">
      <c r="A102" s="15">
        <v>46</v>
      </c>
      <c r="B102" s="5" t="s">
        <v>92</v>
      </c>
      <c r="C102" s="18" t="s">
        <v>93</v>
      </c>
      <c r="D102" s="19" t="s">
        <v>39</v>
      </c>
      <c r="E102" s="6" t="s">
        <v>447</v>
      </c>
      <c r="F102" s="6">
        <v>129.83584951456311</v>
      </c>
      <c r="G102" s="6">
        <v>53492.37</v>
      </c>
      <c r="H102" s="17">
        <v>412</v>
      </c>
      <c r="I102" s="17">
        <v>227</v>
      </c>
      <c r="J102" s="5">
        <v>4.7</v>
      </c>
      <c r="K102" s="5" t="s">
        <v>94</v>
      </c>
      <c r="L102" s="33" t="str">
        <f t="shared" si="1"/>
        <v>https://amazon.com/dp/B0D3XDGN6M</v>
      </c>
    </row>
    <row r="103" spans="1:12" x14ac:dyDescent="0.6">
      <c r="A103" s="15">
        <v>47</v>
      </c>
      <c r="B103" s="5" t="s">
        <v>229</v>
      </c>
      <c r="C103" s="18" t="s">
        <v>230</v>
      </c>
      <c r="D103" s="19" t="s">
        <v>38</v>
      </c>
      <c r="E103" s="6" t="s">
        <v>436</v>
      </c>
      <c r="F103" s="6">
        <v>25.90492574257426</v>
      </c>
      <c r="G103" s="6">
        <v>10465.59</v>
      </c>
      <c r="H103" s="17">
        <v>404</v>
      </c>
      <c r="I103" s="17">
        <v>2492</v>
      </c>
      <c r="J103" s="5">
        <v>4.4000000000000004</v>
      </c>
      <c r="K103" s="5" t="s">
        <v>231</v>
      </c>
      <c r="L103" s="33" t="str">
        <f t="shared" si="1"/>
        <v>https://amazon.com/dp/B0B8HKQFPD</v>
      </c>
    </row>
    <row r="104" spans="1:12" x14ac:dyDescent="0.6">
      <c r="A104" s="15">
        <v>48</v>
      </c>
      <c r="B104" s="5" t="s">
        <v>232</v>
      </c>
      <c r="C104" s="18" t="s">
        <v>233</v>
      </c>
      <c r="D104" s="19" t="s">
        <v>46</v>
      </c>
      <c r="E104" s="6" t="s">
        <v>438</v>
      </c>
      <c r="F104" s="6">
        <v>27.138015665796349</v>
      </c>
      <c r="G104" s="6">
        <v>10393.86</v>
      </c>
      <c r="H104" s="17">
        <v>383</v>
      </c>
      <c r="I104" s="17">
        <v>295</v>
      </c>
      <c r="J104" s="5">
        <v>4.4000000000000004</v>
      </c>
      <c r="K104" s="5" t="s">
        <v>234</v>
      </c>
      <c r="L104" s="33" t="str">
        <f t="shared" si="1"/>
        <v>https://amazon.com/dp/B0CKPFQKT4</v>
      </c>
    </row>
    <row r="105" spans="1:12" x14ac:dyDescent="0.6">
      <c r="A105" s="15">
        <v>49</v>
      </c>
      <c r="B105" s="5" t="s">
        <v>235</v>
      </c>
      <c r="C105" s="18" t="s">
        <v>236</v>
      </c>
      <c r="D105" s="19" t="s">
        <v>37</v>
      </c>
      <c r="E105" s="6" t="s">
        <v>438</v>
      </c>
      <c r="F105" s="6">
        <v>28.584173228346451</v>
      </c>
      <c r="G105" s="6">
        <v>10890.57</v>
      </c>
      <c r="H105" s="17">
        <v>381</v>
      </c>
      <c r="I105" s="17">
        <v>922</v>
      </c>
      <c r="J105" s="5">
        <v>4.4000000000000004</v>
      </c>
      <c r="K105" s="5" t="s">
        <v>237</v>
      </c>
      <c r="L105" s="33" t="str">
        <f t="shared" si="1"/>
        <v>https://amazon.com/dp/B0C4FBM6GV</v>
      </c>
    </row>
    <row r="106" spans="1:12" x14ac:dyDescent="0.6">
      <c r="A106" s="15">
        <v>50</v>
      </c>
      <c r="B106" s="5" t="s">
        <v>197</v>
      </c>
      <c r="C106" s="18" t="s">
        <v>198</v>
      </c>
      <c r="D106" s="19" t="s">
        <v>199</v>
      </c>
      <c r="E106" s="6" t="s">
        <v>440</v>
      </c>
      <c r="F106" s="6">
        <v>50.04810888252149</v>
      </c>
      <c r="G106" s="6">
        <v>17466.79</v>
      </c>
      <c r="H106" s="17">
        <v>349</v>
      </c>
      <c r="I106" s="17">
        <v>3482</v>
      </c>
      <c r="J106" s="5">
        <v>4.3</v>
      </c>
      <c r="K106" s="5" t="s">
        <v>200</v>
      </c>
      <c r="L106" s="33" t="str">
        <f t="shared" si="1"/>
        <v>https://amazon.com/dp/B07PBW52SF</v>
      </c>
    </row>
  </sheetData>
  <mergeCells count="2">
    <mergeCell ref="A1:L1"/>
    <mergeCell ref="A55:L55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96F3F-594D-4560-8E35-82B79ABDDFD9}">
  <dimension ref="A1:F35"/>
  <sheetViews>
    <sheetView workbookViewId="0">
      <selection sqref="A1:F1"/>
    </sheetView>
  </sheetViews>
  <sheetFormatPr defaultRowHeight="15.6" x14ac:dyDescent="0.6"/>
  <cols>
    <col min="1" max="2" width="15.34765625" customWidth="1"/>
    <col min="3" max="3" width="23.59765625" customWidth="1"/>
    <col min="4" max="4" width="20.84765625" style="23" customWidth="1"/>
    <col min="5" max="5" width="19.84765625" customWidth="1"/>
    <col min="6" max="6" width="15.34765625" customWidth="1"/>
  </cols>
  <sheetData>
    <row r="1" spans="1:6" ht="26.1" x14ac:dyDescent="0.85">
      <c r="A1" s="105" t="s">
        <v>445</v>
      </c>
      <c r="B1" s="105"/>
      <c r="C1" s="105"/>
      <c r="D1" s="105"/>
      <c r="E1" s="105"/>
      <c r="F1" s="105"/>
    </row>
    <row r="2" spans="1:6" x14ac:dyDescent="0.6">
      <c r="A2" s="84"/>
      <c r="B2" s="85" t="s">
        <v>12</v>
      </c>
      <c r="C2" s="85" t="s">
        <v>441</v>
      </c>
      <c r="D2" s="86" t="s">
        <v>442</v>
      </c>
      <c r="E2" s="87" t="s">
        <v>443</v>
      </c>
      <c r="F2" s="88" t="s">
        <v>444</v>
      </c>
    </row>
    <row r="3" spans="1:6" x14ac:dyDescent="0.6">
      <c r="A3" s="99" t="s">
        <v>447</v>
      </c>
      <c r="B3" s="100">
        <v>134.60776871981844</v>
      </c>
      <c r="C3" s="101">
        <v>8395</v>
      </c>
      <c r="D3" s="102">
        <f t="shared" ref="D3" si="0">C3/$C$9</f>
        <v>0.15920426314691546</v>
      </c>
      <c r="E3" s="103">
        <v>1108536.6899999997</v>
      </c>
      <c r="F3" s="102">
        <f t="shared" ref="F3" si="1">E3/$E$9</f>
        <v>0.36552859097540136</v>
      </c>
    </row>
    <row r="4" spans="1:6" x14ac:dyDescent="0.6">
      <c r="A4" s="89" t="s">
        <v>436</v>
      </c>
      <c r="B4" s="90">
        <v>77.827191157213051</v>
      </c>
      <c r="C4" s="91">
        <v>6103</v>
      </c>
      <c r="D4" s="92">
        <f>C4/$C$9</f>
        <v>0.11573837021865696</v>
      </c>
      <c r="E4" s="93">
        <v>325599.27</v>
      </c>
      <c r="F4" s="92">
        <f>E4/$E$9</f>
        <v>0.10736301600059743</v>
      </c>
    </row>
    <row r="5" spans="1:6" x14ac:dyDescent="0.6">
      <c r="A5" s="99" t="s">
        <v>437</v>
      </c>
      <c r="B5" s="100">
        <v>80.242864302847366</v>
      </c>
      <c r="C5" s="101">
        <v>18348</v>
      </c>
      <c r="D5" s="102">
        <f t="shared" ref="D5:D8" si="2">C5/$C$9</f>
        <v>0.3479547135461114</v>
      </c>
      <c r="E5" s="103">
        <v>996505.89999999979</v>
      </c>
      <c r="F5" s="102">
        <f t="shared" ref="F5:F8" si="3">E5/$E$9</f>
        <v>0.32858758831489304</v>
      </c>
    </row>
    <row r="6" spans="1:6" x14ac:dyDescent="0.6">
      <c r="A6" s="89" t="s">
        <v>440</v>
      </c>
      <c r="B6" s="90">
        <v>50.04810888252149</v>
      </c>
      <c r="C6" s="91">
        <v>349</v>
      </c>
      <c r="D6" s="92">
        <f t="shared" si="2"/>
        <v>6.6184976579241814E-3</v>
      </c>
      <c r="E6" s="93">
        <v>17466.79</v>
      </c>
      <c r="F6" s="92">
        <f t="shared" si="3"/>
        <v>5.7594946519661273E-3</v>
      </c>
    </row>
    <row r="7" spans="1:6" x14ac:dyDescent="0.6">
      <c r="A7" s="99" t="s">
        <v>438</v>
      </c>
      <c r="B7" s="100">
        <v>30.28574188575508</v>
      </c>
      <c r="C7" s="101">
        <v>17789</v>
      </c>
      <c r="D7" s="102">
        <f t="shared" si="2"/>
        <v>0.33735373878743052</v>
      </c>
      <c r="E7" s="103">
        <v>507711.86</v>
      </c>
      <c r="F7" s="102">
        <f t="shared" si="3"/>
        <v>0.16741277260502788</v>
      </c>
    </row>
    <row r="8" spans="1:6" x14ac:dyDescent="0.6">
      <c r="A8" s="89" t="s">
        <v>439</v>
      </c>
      <c r="B8" s="90">
        <v>42.480585357741532</v>
      </c>
      <c r="C8" s="91">
        <v>1747</v>
      </c>
      <c r="D8" s="92">
        <f t="shared" si="2"/>
        <v>3.3130416642961444E-2</v>
      </c>
      <c r="E8" s="93">
        <v>76874.38</v>
      </c>
      <c r="F8" s="92">
        <f t="shared" si="3"/>
        <v>2.5348537452114087E-2</v>
      </c>
    </row>
    <row r="9" spans="1:6" x14ac:dyDescent="0.6">
      <c r="A9" s="94" t="s">
        <v>5</v>
      </c>
      <c r="B9" s="95">
        <v>79.895607387473234</v>
      </c>
      <c r="C9" s="96">
        <v>52731</v>
      </c>
      <c r="D9" s="97">
        <v>1</v>
      </c>
      <c r="E9" s="98">
        <v>3032694.8899999997</v>
      </c>
      <c r="F9" s="97">
        <v>1</v>
      </c>
    </row>
    <row r="27" spans="1:6" ht="26.1" x14ac:dyDescent="0.85">
      <c r="A27" s="105" t="s">
        <v>446</v>
      </c>
      <c r="B27" s="105"/>
      <c r="C27" s="105"/>
      <c r="D27" s="105"/>
      <c r="E27" s="105"/>
      <c r="F27" s="105"/>
    </row>
    <row r="28" spans="1:6" x14ac:dyDescent="0.6">
      <c r="A28" s="84"/>
      <c r="B28" s="85" t="s">
        <v>12</v>
      </c>
      <c r="C28" s="85" t="s">
        <v>441</v>
      </c>
      <c r="D28" s="86" t="s">
        <v>442</v>
      </c>
      <c r="E28" s="87" t="s">
        <v>443</v>
      </c>
      <c r="F28" s="88" t="s">
        <v>444</v>
      </c>
    </row>
    <row r="29" spans="1:6" x14ac:dyDescent="0.6">
      <c r="A29" s="99" t="s">
        <v>447</v>
      </c>
      <c r="B29" s="100">
        <v>133.2270332203579</v>
      </c>
      <c r="C29" s="101">
        <v>7623</v>
      </c>
      <c r="D29" s="102">
        <f t="shared" ref="D29" si="4">C29/$C$35</f>
        <v>0.13749751988600495</v>
      </c>
      <c r="E29" s="103">
        <v>1012457.5799999998</v>
      </c>
      <c r="F29" s="102">
        <f t="shared" ref="F29" si="5">E29/$E$35</f>
        <v>0.34885551233340834</v>
      </c>
    </row>
    <row r="30" spans="1:6" x14ac:dyDescent="0.6">
      <c r="A30" s="89" t="s">
        <v>436</v>
      </c>
      <c r="B30" s="90">
        <v>53.604588757076471</v>
      </c>
      <c r="C30" s="91">
        <v>6472</v>
      </c>
      <c r="D30" s="92">
        <f>C30/$C$35</f>
        <v>0.11673671109828467</v>
      </c>
      <c r="E30" s="93">
        <v>305052.96000000002</v>
      </c>
      <c r="F30" s="92">
        <f>E30/$E$35</f>
        <v>0.10510999053374932</v>
      </c>
    </row>
    <row r="31" spans="1:6" x14ac:dyDescent="0.6">
      <c r="A31" s="99" t="s">
        <v>437</v>
      </c>
      <c r="B31" s="100">
        <v>47.434855921822674</v>
      </c>
      <c r="C31" s="101">
        <v>18848</v>
      </c>
      <c r="D31" s="102">
        <f t="shared" ref="D31:D34" si="6">C31/$C$35</f>
        <v>0.33996500784617883</v>
      </c>
      <c r="E31" s="103">
        <v>914957.47999999986</v>
      </c>
      <c r="F31" s="102">
        <f t="shared" ref="F31:F34" si="7">E31/$E$35</f>
        <v>0.31526057659490703</v>
      </c>
    </row>
    <row r="32" spans="1:6" x14ac:dyDescent="0.6">
      <c r="A32" s="89" t="s">
        <v>440</v>
      </c>
      <c r="B32" s="90">
        <v>50.04810888252149</v>
      </c>
      <c r="C32" s="91">
        <v>349</v>
      </c>
      <c r="D32" s="92">
        <f t="shared" si="6"/>
        <v>6.2949802492740028E-3</v>
      </c>
      <c r="E32" s="93">
        <v>17466.79</v>
      </c>
      <c r="F32" s="92">
        <f t="shared" si="7"/>
        <v>6.018411136069577E-3</v>
      </c>
    </row>
    <row r="33" spans="1:6" x14ac:dyDescent="0.6">
      <c r="A33" s="99" t="s">
        <v>438</v>
      </c>
      <c r="B33" s="100">
        <v>28.812459741104849</v>
      </c>
      <c r="C33" s="101">
        <v>20402</v>
      </c>
      <c r="D33" s="102">
        <f t="shared" si="6"/>
        <v>0.36799480528850492</v>
      </c>
      <c r="E33" s="103">
        <v>575416.92999999993</v>
      </c>
      <c r="F33" s="102">
        <f t="shared" si="7"/>
        <v>0.19826743548156059</v>
      </c>
    </row>
    <row r="34" spans="1:6" x14ac:dyDescent="0.6">
      <c r="A34" s="89" t="s">
        <v>439</v>
      </c>
      <c r="B34" s="90">
        <v>42.480585357741532</v>
      </c>
      <c r="C34" s="91">
        <v>1747</v>
      </c>
      <c r="D34" s="92">
        <f t="shared" si="6"/>
        <v>3.1510975631752675E-2</v>
      </c>
      <c r="E34" s="93">
        <v>76874.38</v>
      </c>
      <c r="F34" s="92">
        <f t="shared" si="7"/>
        <v>2.648807392030501E-2</v>
      </c>
    </row>
    <row r="35" spans="1:6" x14ac:dyDescent="0.6">
      <c r="A35" s="94" t="s">
        <v>5</v>
      </c>
      <c r="B35" s="95">
        <v>55.424451765025445</v>
      </c>
      <c r="C35" s="96">
        <v>55441</v>
      </c>
      <c r="D35" s="97">
        <v>1</v>
      </c>
      <c r="E35" s="98">
        <v>2902226.12</v>
      </c>
      <c r="F35" s="97">
        <v>1</v>
      </c>
    </row>
  </sheetData>
  <mergeCells count="2">
    <mergeCell ref="A1:F1"/>
    <mergeCell ref="A27:F27"/>
  </mergeCells>
  <conditionalFormatting sqref="C3:F9">
    <cfRule type="expression" dxfId="1" priority="1">
      <formula>C3&lt;0</formula>
    </cfRule>
  </conditionalFormatting>
  <conditionalFormatting sqref="C29:F35">
    <cfRule type="expression" dxfId="0" priority="2">
      <formula>C29&lt;0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DBC15-3245-42E0-A13D-CCB8E16AC336}">
  <sheetPr codeName="Sheet19"/>
  <dimension ref="A1:K30"/>
  <sheetViews>
    <sheetView workbookViewId="0">
      <selection activeCell="D8" sqref="D8"/>
    </sheetView>
  </sheetViews>
  <sheetFormatPr defaultColWidth="12.59765625" defaultRowHeight="15.6" x14ac:dyDescent="0.6"/>
  <cols>
    <col min="1" max="1" width="50.59765625" style="30" customWidth="1"/>
    <col min="2" max="2" width="12.59765625" style="30" customWidth="1"/>
    <col min="3" max="3" width="10.84765625" style="52" bestFit="1" customWidth="1"/>
    <col min="4" max="4" width="24.84765625" style="30" bestFit="1" customWidth="1"/>
    <col min="5" max="5" width="17.75" style="60" bestFit="1" customWidth="1"/>
    <col min="6" max="6" width="21.75" style="60" bestFit="1" customWidth="1"/>
    <col min="7" max="7" width="19.09765625" style="60" bestFit="1" customWidth="1"/>
    <col min="8" max="8" width="13.5" style="35" bestFit="1" customWidth="1"/>
    <col min="9" max="9" width="12.59765625" style="30" bestFit="1" customWidth="1"/>
    <col min="10" max="10" width="35.59765625" style="30" hidden="1" customWidth="1"/>
    <col min="11" max="11" width="35.59765625" style="30" customWidth="1"/>
    <col min="12" max="16384" width="12.59765625" style="30"/>
  </cols>
  <sheetData>
    <row r="1" spans="1:11" x14ac:dyDescent="0.6">
      <c r="A1" s="108" t="e" vm="1">
        <v>#VALUE!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1" x14ac:dyDescent="0.6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x14ac:dyDescent="0.6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1" x14ac:dyDescent="0.6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</row>
    <row r="5" spans="1:11" x14ac:dyDescent="0.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x14ac:dyDescent="0.6">
      <c r="A6" s="28"/>
      <c r="B6" s="28"/>
      <c r="C6" s="45"/>
      <c r="D6" s="46"/>
      <c r="E6" s="46"/>
      <c r="F6" s="46"/>
      <c r="G6" s="46"/>
      <c r="H6" s="47"/>
      <c r="I6" s="48"/>
    </row>
    <row r="7" spans="1:11" x14ac:dyDescent="0.6">
      <c r="A7" s="107" t="s">
        <v>15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</row>
    <row r="8" spans="1:11" x14ac:dyDescent="0.6">
      <c r="A8" s="36" t="s">
        <v>7</v>
      </c>
      <c r="B8" s="37" t="s">
        <v>6</v>
      </c>
      <c r="C8" s="38" t="s">
        <v>12</v>
      </c>
      <c r="D8" s="39" t="s">
        <v>2</v>
      </c>
      <c r="E8" s="37" t="s">
        <v>28</v>
      </c>
      <c r="F8" s="41" t="s">
        <v>14</v>
      </c>
      <c r="G8" s="44" t="s">
        <v>29</v>
      </c>
      <c r="H8" s="41" t="s">
        <v>9</v>
      </c>
      <c r="I8" s="42" t="s">
        <v>13</v>
      </c>
      <c r="J8" s="42" t="s">
        <v>23</v>
      </c>
      <c r="K8" s="43" t="s">
        <v>11</v>
      </c>
    </row>
    <row r="9" spans="1:11" ht="38.700000000000003" x14ac:dyDescent="0.6">
      <c r="A9" s="29" t="s">
        <v>72</v>
      </c>
      <c r="B9" s="29" t="s">
        <v>71</v>
      </c>
      <c r="C9" s="53">
        <v>37.149725297252971</v>
      </c>
      <c r="D9" s="54">
        <v>1087298.1599999999</v>
      </c>
      <c r="E9" s="55">
        <v>90608.18</v>
      </c>
      <c r="F9" s="56">
        <v>29268</v>
      </c>
      <c r="G9" s="56">
        <v>2439</v>
      </c>
      <c r="H9" s="56">
        <v>2494</v>
      </c>
      <c r="I9" s="57">
        <v>4.4000000000000004</v>
      </c>
      <c r="J9" s="57" t="s">
        <v>73</v>
      </c>
      <c r="K9" s="68" t="str">
        <f t="shared" ref="K9:K15" si="0">HYPERLINK(J9)</f>
        <v>https://amazon.com/dp/B0C3R381FC</v>
      </c>
    </row>
    <row r="10" spans="1:11" ht="38.700000000000003" x14ac:dyDescent="0.6">
      <c r="A10" s="29" t="s">
        <v>87</v>
      </c>
      <c r="B10" s="29" t="s">
        <v>86</v>
      </c>
      <c r="C10" s="53">
        <v>38.009591836734693</v>
      </c>
      <c r="D10" s="54">
        <v>759887.76</v>
      </c>
      <c r="E10" s="55">
        <v>63323.98</v>
      </c>
      <c r="F10" s="56">
        <v>19992</v>
      </c>
      <c r="G10" s="56">
        <v>1666</v>
      </c>
      <c r="H10" s="56">
        <v>1189</v>
      </c>
      <c r="I10" s="57">
        <v>4.4000000000000004</v>
      </c>
      <c r="J10" s="57" t="s">
        <v>88</v>
      </c>
      <c r="K10" s="68" t="str">
        <f t="shared" ref="K10:K12" si="1">HYPERLINK(J10)</f>
        <v>https://amazon.com/dp/B0BXSMSS7M</v>
      </c>
    </row>
    <row r="11" spans="1:11" ht="38.700000000000003" x14ac:dyDescent="0.6">
      <c r="A11" s="29" t="s">
        <v>230</v>
      </c>
      <c r="B11" s="29" t="s">
        <v>229</v>
      </c>
      <c r="C11" s="53">
        <v>25.90492574257426</v>
      </c>
      <c r="D11" s="54">
        <v>125587.08</v>
      </c>
      <c r="E11" s="55">
        <v>10465.59</v>
      </c>
      <c r="F11" s="56">
        <v>4848</v>
      </c>
      <c r="G11" s="56">
        <v>404</v>
      </c>
      <c r="H11" s="56">
        <v>2492</v>
      </c>
      <c r="I11" s="57">
        <v>4.4000000000000004</v>
      </c>
      <c r="J11" s="57" t="s">
        <v>231</v>
      </c>
      <c r="K11" s="68" t="str">
        <f t="shared" si="1"/>
        <v>https://amazon.com/dp/B0B8HKQFPD</v>
      </c>
    </row>
    <row r="12" spans="1:11" ht="38.700000000000003" x14ac:dyDescent="0.6">
      <c r="A12" s="29" t="s">
        <v>251</v>
      </c>
      <c r="B12" s="29" t="s">
        <v>252</v>
      </c>
      <c r="C12" s="53">
        <v>89.778461538461542</v>
      </c>
      <c r="D12" s="54">
        <v>84032.639999999999</v>
      </c>
      <c r="E12" s="55">
        <v>7002.72</v>
      </c>
      <c r="F12" s="56">
        <v>936</v>
      </c>
      <c r="G12" s="56">
        <v>78</v>
      </c>
      <c r="H12" s="56">
        <v>46</v>
      </c>
      <c r="I12" s="57">
        <v>4.7</v>
      </c>
      <c r="J12" s="57" t="s">
        <v>253</v>
      </c>
      <c r="K12" s="68" t="str">
        <f t="shared" si="1"/>
        <v>https://amazon.com/dp/B0CW67ZYP1</v>
      </c>
    </row>
    <row r="13" spans="1:11" ht="38.700000000000003" x14ac:dyDescent="0.6">
      <c r="A13" s="29" t="s">
        <v>254</v>
      </c>
      <c r="B13" s="29" t="s">
        <v>255</v>
      </c>
      <c r="C13" s="53">
        <v>50.079137931034488</v>
      </c>
      <c r="D13" s="54">
        <v>69710.16</v>
      </c>
      <c r="E13" s="55">
        <v>5809.18</v>
      </c>
      <c r="F13" s="56">
        <v>1392</v>
      </c>
      <c r="G13" s="56">
        <v>116</v>
      </c>
      <c r="H13" s="56">
        <v>160</v>
      </c>
      <c r="I13" s="57">
        <v>4.2</v>
      </c>
      <c r="J13" s="57" t="s">
        <v>256</v>
      </c>
      <c r="K13" s="68" t="str">
        <f t="shared" si="0"/>
        <v>https://amazon.com/dp/B0BYHMRHG1</v>
      </c>
    </row>
    <row r="14" spans="1:11" ht="38.700000000000003" x14ac:dyDescent="0.6">
      <c r="A14" s="29" t="s">
        <v>257</v>
      </c>
      <c r="B14" s="29" t="s">
        <v>258</v>
      </c>
      <c r="C14" s="53">
        <v>47.7</v>
      </c>
      <c r="D14" s="54">
        <v>40068</v>
      </c>
      <c r="E14" s="55">
        <v>3339</v>
      </c>
      <c r="F14" s="56">
        <v>840</v>
      </c>
      <c r="G14" s="56">
        <v>70</v>
      </c>
      <c r="H14" s="56">
        <v>161</v>
      </c>
      <c r="I14" s="57">
        <v>4.0999999999999996</v>
      </c>
      <c r="J14" s="57" t="s">
        <v>259</v>
      </c>
      <c r="K14" s="68" t="str">
        <f t="shared" si="0"/>
        <v>https://amazon.com/dp/B0BX6H8Y27</v>
      </c>
    </row>
    <row r="15" spans="1:11" ht="25.8" x14ac:dyDescent="0.6">
      <c r="A15" s="29" t="s">
        <v>260</v>
      </c>
      <c r="B15" s="29" t="s">
        <v>261</v>
      </c>
      <c r="C15" s="53">
        <v>40.215000000000003</v>
      </c>
      <c r="D15" s="54">
        <v>18338.04</v>
      </c>
      <c r="E15" s="55">
        <v>1528.17</v>
      </c>
      <c r="F15" s="56">
        <v>456</v>
      </c>
      <c r="G15" s="56">
        <v>38</v>
      </c>
      <c r="H15" s="56">
        <v>39</v>
      </c>
      <c r="I15" s="57">
        <v>3.8</v>
      </c>
      <c r="J15" s="57" t="s">
        <v>262</v>
      </c>
      <c r="K15" s="68" t="str">
        <f t="shared" si="0"/>
        <v>https://amazon.com/dp/B0CW68KT2V</v>
      </c>
    </row>
    <row r="16" spans="1:11" ht="38.700000000000003" x14ac:dyDescent="0.6">
      <c r="A16" s="29" t="s">
        <v>263</v>
      </c>
      <c r="B16" s="29" t="s">
        <v>264</v>
      </c>
      <c r="C16" s="53">
        <v>85.944999999999993</v>
      </c>
      <c r="D16" s="54">
        <v>6188.0399999999991</v>
      </c>
      <c r="E16" s="55">
        <v>515.66999999999996</v>
      </c>
      <c r="F16" s="56">
        <v>72</v>
      </c>
      <c r="G16" s="56">
        <v>6</v>
      </c>
      <c r="H16" s="56">
        <v>29</v>
      </c>
      <c r="I16" s="57">
        <v>4.4000000000000004</v>
      </c>
      <c r="J16" s="57" t="s">
        <v>265</v>
      </c>
      <c r="K16" s="68" t="str">
        <f>HYPERLINK(J16)</f>
        <v>https://amazon.com/dp/B0C2P62QN5</v>
      </c>
    </row>
    <row r="17" spans="1:11" x14ac:dyDescent="0.6">
      <c r="A17" s="32" t="s">
        <v>5</v>
      </c>
      <c r="B17" s="32"/>
      <c r="C17" s="69"/>
      <c r="D17" s="70">
        <f>SUM(D9:D16)</f>
        <v>2191109.88</v>
      </c>
      <c r="E17" s="70">
        <f>SUM(E9:E16)</f>
        <v>182592.49000000002</v>
      </c>
      <c r="F17" s="71"/>
      <c r="G17" s="71"/>
      <c r="H17" s="71"/>
      <c r="I17" s="72"/>
      <c r="J17" s="32"/>
    </row>
    <row r="18" spans="1:11" x14ac:dyDescent="0.6">
      <c r="A18" s="29"/>
      <c r="B18" s="29"/>
      <c r="C18" s="54"/>
      <c r="D18" s="54"/>
      <c r="E18" s="56"/>
      <c r="F18" s="56"/>
      <c r="G18" s="56"/>
      <c r="H18" s="57"/>
      <c r="I18" s="29"/>
    </row>
    <row r="19" spans="1:11" x14ac:dyDescent="0.6">
      <c r="A19" s="29"/>
      <c r="B19" s="29"/>
      <c r="C19" s="54"/>
      <c r="D19" s="54"/>
      <c r="E19" s="56"/>
      <c r="F19" s="56"/>
      <c r="G19" s="56"/>
      <c r="H19" s="57"/>
      <c r="I19" s="29"/>
    </row>
    <row r="20" spans="1:11" x14ac:dyDescent="0.6">
      <c r="A20" s="107" t="s">
        <v>18</v>
      </c>
      <c r="B20" s="107"/>
      <c r="C20" s="107"/>
      <c r="D20" s="107"/>
      <c r="E20" s="107"/>
      <c r="F20" s="107"/>
      <c r="G20" s="107"/>
      <c r="H20" s="107"/>
      <c r="I20" s="107"/>
      <c r="J20" s="107"/>
      <c r="K20" s="107"/>
    </row>
    <row r="21" spans="1:11" x14ac:dyDescent="0.6">
      <c r="A21" s="36" t="s">
        <v>7</v>
      </c>
      <c r="B21" s="37" t="s">
        <v>6</v>
      </c>
      <c r="C21" s="38" t="s">
        <v>12</v>
      </c>
      <c r="D21" s="39" t="s">
        <v>2</v>
      </c>
      <c r="E21" s="37" t="s">
        <v>28</v>
      </c>
      <c r="F21" s="41" t="s">
        <v>14</v>
      </c>
      <c r="G21" s="44" t="s">
        <v>29</v>
      </c>
      <c r="H21" s="41" t="s">
        <v>9</v>
      </c>
      <c r="I21" s="42" t="s">
        <v>13</v>
      </c>
      <c r="J21" s="42" t="s">
        <v>23</v>
      </c>
      <c r="K21" s="43" t="s">
        <v>11</v>
      </c>
    </row>
    <row r="22" spans="1:11" ht="38.700000000000003" x14ac:dyDescent="0.6">
      <c r="A22" s="29" t="s">
        <v>72</v>
      </c>
      <c r="B22" s="29" t="s">
        <v>71</v>
      </c>
      <c r="C22" s="53">
        <v>37.149725297252971</v>
      </c>
      <c r="D22" s="54">
        <v>1087298.1599999999</v>
      </c>
      <c r="E22" s="54">
        <v>90608.18</v>
      </c>
      <c r="F22" s="56">
        <v>29268</v>
      </c>
      <c r="G22" s="58">
        <v>2439</v>
      </c>
      <c r="H22" s="56">
        <v>2494</v>
      </c>
      <c r="I22" s="57">
        <v>4.4000000000000004</v>
      </c>
      <c r="J22" s="57" t="s">
        <v>73</v>
      </c>
      <c r="K22" s="33" t="str">
        <f>HYPERLINK(J22)</f>
        <v>https://amazon.com/dp/B0C3R381FC</v>
      </c>
    </row>
    <row r="23" spans="1:11" ht="38.700000000000003" x14ac:dyDescent="0.6">
      <c r="A23" s="29" t="s">
        <v>87</v>
      </c>
      <c r="B23" s="29" t="s">
        <v>86</v>
      </c>
      <c r="C23" s="53">
        <v>38.009591836734693</v>
      </c>
      <c r="D23" s="54">
        <v>759887.76</v>
      </c>
      <c r="E23" s="54">
        <v>63323.98</v>
      </c>
      <c r="F23" s="56">
        <v>19992</v>
      </c>
      <c r="G23" s="58">
        <v>1666</v>
      </c>
      <c r="H23" s="56">
        <v>1189</v>
      </c>
      <c r="I23" s="57">
        <v>4.4000000000000004</v>
      </c>
      <c r="J23" s="57" t="s">
        <v>88</v>
      </c>
      <c r="K23" s="33" t="str">
        <f t="shared" ref="K23" si="2">HYPERLINK(J23)</f>
        <v>https://amazon.com/dp/B0BXSMSS7M</v>
      </c>
    </row>
    <row r="24" spans="1:11" ht="38.700000000000003" x14ac:dyDescent="0.6">
      <c r="A24" s="29" t="s">
        <v>230</v>
      </c>
      <c r="B24" s="29" t="s">
        <v>229</v>
      </c>
      <c r="C24" s="53">
        <v>25.90492574257426</v>
      </c>
      <c r="D24" s="54">
        <v>125587.08</v>
      </c>
      <c r="E24" s="54">
        <v>10465.59</v>
      </c>
      <c r="F24" s="56">
        <v>4848</v>
      </c>
      <c r="G24" s="58">
        <v>404</v>
      </c>
      <c r="H24" s="56">
        <v>2492</v>
      </c>
      <c r="I24" s="57">
        <v>4.4000000000000004</v>
      </c>
      <c r="J24" s="57" t="s">
        <v>231</v>
      </c>
      <c r="K24" s="33" t="str">
        <f>HYPERLINK(J24)</f>
        <v>https://amazon.com/dp/B0B8HKQFPD</v>
      </c>
    </row>
    <row r="25" spans="1:11" ht="38.700000000000003" x14ac:dyDescent="0.6">
      <c r="A25" s="29" t="s">
        <v>254</v>
      </c>
      <c r="B25" s="29" t="s">
        <v>255</v>
      </c>
      <c r="C25" s="53">
        <v>50.079137931034488</v>
      </c>
      <c r="D25" s="54">
        <v>69710.16</v>
      </c>
      <c r="E25" s="54">
        <v>5809.18</v>
      </c>
      <c r="F25" s="56">
        <v>1392</v>
      </c>
      <c r="G25" s="58">
        <v>116</v>
      </c>
      <c r="H25" s="56">
        <v>160</v>
      </c>
      <c r="I25" s="57">
        <v>4.2</v>
      </c>
      <c r="J25" s="57" t="s">
        <v>256</v>
      </c>
      <c r="K25" s="33" t="str">
        <f>HYPERLINK(J25)</f>
        <v>https://amazon.com/dp/B0BYHMRHG1</v>
      </c>
    </row>
    <row r="26" spans="1:11" ht="38.700000000000003" x14ac:dyDescent="0.6">
      <c r="A26" s="29" t="s">
        <v>251</v>
      </c>
      <c r="B26" s="29" t="s">
        <v>252</v>
      </c>
      <c r="C26" s="53">
        <v>89.778461538461542</v>
      </c>
      <c r="D26" s="54">
        <v>84032.639999999999</v>
      </c>
      <c r="E26" s="54">
        <v>7002.72</v>
      </c>
      <c r="F26" s="56">
        <v>936</v>
      </c>
      <c r="G26" s="58">
        <v>78</v>
      </c>
      <c r="H26" s="56">
        <v>46</v>
      </c>
      <c r="I26" s="57">
        <v>4.7</v>
      </c>
      <c r="J26" s="57" t="s">
        <v>253</v>
      </c>
      <c r="K26" s="33" t="str">
        <f t="shared" ref="K26:K29" si="3">HYPERLINK(J26)</f>
        <v>https://amazon.com/dp/B0CW67ZYP1</v>
      </c>
    </row>
    <row r="27" spans="1:11" ht="38.700000000000003" x14ac:dyDescent="0.6">
      <c r="A27" s="29" t="s">
        <v>257</v>
      </c>
      <c r="B27" s="29" t="s">
        <v>258</v>
      </c>
      <c r="C27" s="53">
        <v>47.7</v>
      </c>
      <c r="D27" s="54">
        <v>40068</v>
      </c>
      <c r="E27" s="54">
        <v>3339</v>
      </c>
      <c r="F27" s="56">
        <v>840</v>
      </c>
      <c r="G27" s="58">
        <v>70</v>
      </c>
      <c r="H27" s="56">
        <v>161</v>
      </c>
      <c r="I27" s="57">
        <v>4.0999999999999996</v>
      </c>
      <c r="J27" s="57" t="s">
        <v>259</v>
      </c>
      <c r="K27" s="33" t="str">
        <f t="shared" si="3"/>
        <v>https://amazon.com/dp/B0BX6H8Y27</v>
      </c>
    </row>
    <row r="28" spans="1:11" ht="25.8" x14ac:dyDescent="0.6">
      <c r="A28" s="29" t="s">
        <v>260</v>
      </c>
      <c r="B28" s="29" t="s">
        <v>261</v>
      </c>
      <c r="C28" s="53">
        <v>40.215000000000003</v>
      </c>
      <c r="D28" s="54">
        <v>18338.04</v>
      </c>
      <c r="E28" s="54">
        <v>1528.17</v>
      </c>
      <c r="F28" s="56">
        <v>456</v>
      </c>
      <c r="G28" s="58">
        <v>38</v>
      </c>
      <c r="H28" s="56">
        <v>39</v>
      </c>
      <c r="I28" s="57">
        <v>3.8</v>
      </c>
      <c r="J28" s="57" t="s">
        <v>262</v>
      </c>
      <c r="K28" s="33" t="str">
        <f t="shared" si="3"/>
        <v>https://amazon.com/dp/B0CW68KT2V</v>
      </c>
    </row>
    <row r="29" spans="1:11" ht="38.700000000000003" x14ac:dyDescent="0.6">
      <c r="A29" s="29" t="s">
        <v>263</v>
      </c>
      <c r="B29" s="29" t="s">
        <v>264</v>
      </c>
      <c r="C29" s="53">
        <v>85.944999999999993</v>
      </c>
      <c r="D29" s="54">
        <v>6188.0399999999991</v>
      </c>
      <c r="E29" s="54">
        <v>515.66999999999996</v>
      </c>
      <c r="F29" s="56">
        <v>72</v>
      </c>
      <c r="G29" s="58">
        <v>6</v>
      </c>
      <c r="H29" s="56">
        <v>29</v>
      </c>
      <c r="I29" s="57">
        <v>4.4000000000000004</v>
      </c>
      <c r="J29" s="57" t="s">
        <v>265</v>
      </c>
      <c r="K29" s="33" t="str">
        <f t="shared" si="3"/>
        <v>https://amazon.com/dp/B0C2P62QN5</v>
      </c>
    </row>
    <row r="30" spans="1:11" x14ac:dyDescent="0.6">
      <c r="A30" s="32" t="s">
        <v>5</v>
      </c>
      <c r="B30" s="32"/>
      <c r="C30" s="70"/>
      <c r="D30" s="70"/>
      <c r="E30" s="70"/>
      <c r="F30" s="71">
        <f>SUM(Table43[Estimated 12mo Units])</f>
        <v>57804</v>
      </c>
      <c r="G30" s="71">
        <f>SUM(Table43[Monthly Units])</f>
        <v>4817</v>
      </c>
      <c r="H30" s="71"/>
      <c r="I30" s="72"/>
      <c r="J30" s="32"/>
    </row>
  </sheetData>
  <mergeCells count="3">
    <mergeCell ref="A20:K20"/>
    <mergeCell ref="A7:K7"/>
    <mergeCell ref="A1:K5"/>
  </mergeCells>
  <hyperlinks>
    <hyperlink ref="K22" r:id="rId1" display="https://amazon.com/dp/B07S7H86Z1" xr:uid="{B50781AB-6A1B-4FD5-A4FE-B01CC9AE1E6C}"/>
    <hyperlink ref="K23" r:id="rId2" display="https://amazon.com/dp/B07S7H86Z1" xr:uid="{1A93A4A9-FFC7-4108-966F-9876B933DC54}"/>
  </hyperlinks>
  <pageMargins left="0.7" right="0.7" top="0.75" bottom="0.75" header="0.3" footer="0.3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6EF8-81A7-4E70-856D-5188FB94CB51}">
  <dimension ref="A1:K70"/>
  <sheetViews>
    <sheetView workbookViewId="0">
      <selection sqref="A1:K5"/>
    </sheetView>
  </sheetViews>
  <sheetFormatPr defaultColWidth="12.59765625" defaultRowHeight="15.6" x14ac:dyDescent="0.6"/>
  <cols>
    <col min="1" max="1" width="50.59765625" style="30" customWidth="1"/>
    <col min="2" max="2" width="12.59765625" style="30" customWidth="1"/>
    <col min="3" max="3" width="10.84765625" style="52" bestFit="1" customWidth="1"/>
    <col min="4" max="4" width="24.84765625" style="30" bestFit="1" customWidth="1"/>
    <col min="5" max="5" width="17.75" style="60" bestFit="1" customWidth="1"/>
    <col min="6" max="6" width="21.75" style="60" bestFit="1" customWidth="1"/>
    <col min="7" max="7" width="19.09765625" style="60" bestFit="1" customWidth="1"/>
    <col min="8" max="8" width="13.5" style="35" bestFit="1" customWidth="1"/>
    <col min="9" max="9" width="12.59765625" style="30" bestFit="1" customWidth="1"/>
    <col min="10" max="10" width="35.59765625" style="30" hidden="1" customWidth="1"/>
    <col min="11" max="11" width="35.59765625" style="30" customWidth="1"/>
    <col min="12" max="16384" width="12.59765625" style="30"/>
  </cols>
  <sheetData>
    <row r="1" spans="1:11" x14ac:dyDescent="0.6">
      <c r="A1" s="108" t="e" vm="2">
        <v>#VALUE!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1" x14ac:dyDescent="0.6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x14ac:dyDescent="0.6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1" x14ac:dyDescent="0.6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</row>
    <row r="5" spans="1:11" x14ac:dyDescent="0.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x14ac:dyDescent="0.6">
      <c r="A6" s="28"/>
      <c r="B6" s="28"/>
      <c r="C6" s="45"/>
      <c r="D6" s="46"/>
      <c r="E6" s="46"/>
      <c r="F6" s="46"/>
      <c r="G6" s="46"/>
      <c r="H6" s="47"/>
      <c r="I6" s="48"/>
    </row>
    <row r="7" spans="1:11" x14ac:dyDescent="0.6">
      <c r="A7" s="107" t="s">
        <v>15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</row>
    <row r="8" spans="1:11" x14ac:dyDescent="0.6">
      <c r="A8" s="36" t="s">
        <v>7</v>
      </c>
      <c r="B8" s="37" t="s">
        <v>6</v>
      </c>
      <c r="C8" s="38" t="s">
        <v>12</v>
      </c>
      <c r="D8" s="39" t="s">
        <v>2</v>
      </c>
      <c r="E8" s="37" t="s">
        <v>28</v>
      </c>
      <c r="F8" s="41" t="s">
        <v>14</v>
      </c>
      <c r="G8" s="44" t="s">
        <v>29</v>
      </c>
      <c r="H8" s="41" t="s">
        <v>9</v>
      </c>
      <c r="I8" s="42" t="s">
        <v>13</v>
      </c>
      <c r="J8" s="42" t="s">
        <v>23</v>
      </c>
      <c r="K8" s="43" t="s">
        <v>11</v>
      </c>
    </row>
    <row r="9" spans="1:11" ht="38.700000000000003" x14ac:dyDescent="0.6">
      <c r="A9" s="29" t="s">
        <v>54</v>
      </c>
      <c r="B9" s="29" t="s">
        <v>53</v>
      </c>
      <c r="C9" s="53">
        <v>63.776024981631153</v>
      </c>
      <c r="D9" s="54">
        <v>2083180.08</v>
      </c>
      <c r="E9" s="55">
        <v>173598.34</v>
      </c>
      <c r="F9" s="56">
        <v>32664</v>
      </c>
      <c r="G9" s="56">
        <v>2722</v>
      </c>
      <c r="H9" s="56">
        <v>6096</v>
      </c>
      <c r="I9" s="57">
        <v>4.5</v>
      </c>
      <c r="J9" s="57" t="s">
        <v>55</v>
      </c>
      <c r="K9" s="68" t="str">
        <f t="shared" ref="K9:K33" si="0">HYPERLINK(J9)</f>
        <v>https://amazon.com/dp/B0928Q3T42</v>
      </c>
    </row>
    <row r="10" spans="1:11" ht="38.700000000000003" x14ac:dyDescent="0.6">
      <c r="A10" s="29" t="s">
        <v>57</v>
      </c>
      <c r="B10" s="29" t="s">
        <v>56</v>
      </c>
      <c r="C10" s="53">
        <v>129.94307142857139</v>
      </c>
      <c r="D10" s="54">
        <v>1746434.88</v>
      </c>
      <c r="E10" s="55">
        <v>145536.24</v>
      </c>
      <c r="F10" s="56">
        <v>13440</v>
      </c>
      <c r="G10" s="56">
        <v>1120</v>
      </c>
      <c r="H10" s="56">
        <v>1784</v>
      </c>
      <c r="I10" s="57">
        <v>4.4000000000000004</v>
      </c>
      <c r="J10" s="57" t="s">
        <v>58</v>
      </c>
      <c r="K10" s="68" t="str">
        <f t="shared" ref="K10:K23" si="1">HYPERLINK(J10)</f>
        <v>https://amazon.com/dp/B0BS1CFFH8</v>
      </c>
    </row>
    <row r="11" spans="1:11" ht="38.700000000000003" x14ac:dyDescent="0.6">
      <c r="A11" s="29" t="s">
        <v>81</v>
      </c>
      <c r="B11" s="29" t="s">
        <v>80</v>
      </c>
      <c r="C11" s="53">
        <v>68.750386904761911</v>
      </c>
      <c r="D11" s="54">
        <v>831604.67999999993</v>
      </c>
      <c r="E11" s="55">
        <v>69300.39</v>
      </c>
      <c r="F11" s="56">
        <v>12096</v>
      </c>
      <c r="G11" s="56">
        <v>1008</v>
      </c>
      <c r="H11" s="56">
        <v>485</v>
      </c>
      <c r="I11" s="57">
        <v>4.5999999999999996</v>
      </c>
      <c r="J11" s="57" t="s">
        <v>82</v>
      </c>
      <c r="K11" s="68" t="str">
        <f t="shared" si="1"/>
        <v>https://amazon.com/dp/B0CT2CX59S</v>
      </c>
    </row>
    <row r="12" spans="1:11" ht="51.6" x14ac:dyDescent="0.6">
      <c r="A12" s="29" t="s">
        <v>90</v>
      </c>
      <c r="B12" s="29" t="s">
        <v>89</v>
      </c>
      <c r="C12" s="53">
        <v>54.972591836734694</v>
      </c>
      <c r="D12" s="54">
        <v>646477.67999999993</v>
      </c>
      <c r="E12" s="55">
        <v>53873.14</v>
      </c>
      <c r="F12" s="56">
        <v>11760</v>
      </c>
      <c r="G12" s="56">
        <v>980</v>
      </c>
      <c r="H12" s="56">
        <v>2494</v>
      </c>
      <c r="I12" s="57">
        <v>4.4000000000000004</v>
      </c>
      <c r="J12" s="57" t="s">
        <v>91</v>
      </c>
      <c r="K12" s="68" t="str">
        <f t="shared" si="1"/>
        <v>https://amazon.com/dp/B08NJ8627V</v>
      </c>
    </row>
    <row r="13" spans="1:11" ht="38.700000000000003" x14ac:dyDescent="0.6">
      <c r="A13" s="29" t="s">
        <v>96</v>
      </c>
      <c r="B13" s="29" t="s">
        <v>95</v>
      </c>
      <c r="C13" s="53">
        <v>121.4450460829493</v>
      </c>
      <c r="D13" s="54">
        <v>632485.80000000005</v>
      </c>
      <c r="E13" s="55">
        <v>52707.15</v>
      </c>
      <c r="F13" s="56">
        <v>5208</v>
      </c>
      <c r="G13" s="56">
        <v>434</v>
      </c>
      <c r="H13" s="56">
        <v>208</v>
      </c>
      <c r="I13" s="57">
        <v>4.5</v>
      </c>
      <c r="J13" s="57" t="s">
        <v>97</v>
      </c>
      <c r="K13" s="68" t="str">
        <f t="shared" si="1"/>
        <v>https://amazon.com/dp/B0DBZ6Q4YH</v>
      </c>
    </row>
    <row r="14" spans="1:11" ht="51.6" x14ac:dyDescent="0.6">
      <c r="A14" s="29" t="s">
        <v>136</v>
      </c>
      <c r="B14" s="29" t="s">
        <v>135</v>
      </c>
      <c r="C14" s="53">
        <v>120.05338345864661</v>
      </c>
      <c r="D14" s="54">
        <v>383210.4</v>
      </c>
      <c r="E14" s="55">
        <v>31934.2</v>
      </c>
      <c r="F14" s="56">
        <v>3192</v>
      </c>
      <c r="G14" s="56">
        <v>266</v>
      </c>
      <c r="H14" s="56">
        <v>1469</v>
      </c>
      <c r="I14" s="57">
        <v>4.5</v>
      </c>
      <c r="J14" s="57" t="s">
        <v>137</v>
      </c>
      <c r="K14" s="68" t="str">
        <f t="shared" si="1"/>
        <v>https://amazon.com/dp/B0BYF9J7V9</v>
      </c>
    </row>
    <row r="15" spans="1:11" ht="38.700000000000003" x14ac:dyDescent="0.6">
      <c r="A15" s="29" t="s">
        <v>146</v>
      </c>
      <c r="B15" s="29" t="s">
        <v>145</v>
      </c>
      <c r="C15" s="53">
        <v>129.79962025316459</v>
      </c>
      <c r="D15" s="54">
        <v>369150.12</v>
      </c>
      <c r="E15" s="55">
        <v>30762.51</v>
      </c>
      <c r="F15" s="56">
        <v>2844</v>
      </c>
      <c r="G15" s="56">
        <v>237</v>
      </c>
      <c r="H15" s="56">
        <v>144</v>
      </c>
      <c r="I15" s="57">
        <v>4.3</v>
      </c>
      <c r="J15" s="57" t="s">
        <v>147</v>
      </c>
      <c r="K15" s="68" t="str">
        <f t="shared" si="1"/>
        <v>https://amazon.com/dp/B0DD351NSB</v>
      </c>
    </row>
    <row r="16" spans="1:11" ht="38.700000000000003" x14ac:dyDescent="0.6">
      <c r="A16" s="29" t="s">
        <v>149</v>
      </c>
      <c r="B16" s="29" t="s">
        <v>148</v>
      </c>
      <c r="C16" s="53">
        <v>49.985962199312723</v>
      </c>
      <c r="D16" s="54">
        <v>349101.96</v>
      </c>
      <c r="E16" s="55">
        <v>29091.83</v>
      </c>
      <c r="F16" s="56">
        <v>6984</v>
      </c>
      <c r="G16" s="56">
        <v>582</v>
      </c>
      <c r="H16" s="56">
        <v>169</v>
      </c>
      <c r="I16" s="57">
        <v>4.5</v>
      </c>
      <c r="J16" s="57" t="s">
        <v>150</v>
      </c>
      <c r="K16" s="68" t="str">
        <f t="shared" si="1"/>
        <v>https://amazon.com/dp/B0DD47VS7S</v>
      </c>
    </row>
    <row r="17" spans="1:11" ht="38.700000000000003" x14ac:dyDescent="0.6">
      <c r="A17" s="29" t="s">
        <v>175</v>
      </c>
      <c r="B17" s="29" t="s">
        <v>174</v>
      </c>
      <c r="C17" s="53">
        <v>239.9770652173913</v>
      </c>
      <c r="D17" s="54">
        <v>264934.68</v>
      </c>
      <c r="E17" s="55">
        <v>22077.89</v>
      </c>
      <c r="F17" s="56">
        <v>1104</v>
      </c>
      <c r="G17" s="56">
        <v>92</v>
      </c>
      <c r="H17" s="56">
        <v>154</v>
      </c>
      <c r="I17" s="57">
        <v>4.5999999999999996</v>
      </c>
      <c r="J17" s="57" t="s">
        <v>176</v>
      </c>
      <c r="K17" s="68" t="str">
        <f t="shared" si="1"/>
        <v>https://amazon.com/dp/B0BVML78W1</v>
      </c>
    </row>
    <row r="18" spans="1:11" ht="38.700000000000003" x14ac:dyDescent="0.6">
      <c r="A18" s="29" t="s">
        <v>185</v>
      </c>
      <c r="B18" s="29" t="s">
        <v>184</v>
      </c>
      <c r="C18" s="53">
        <v>152.61147286821699</v>
      </c>
      <c r="D18" s="54">
        <v>236242.56</v>
      </c>
      <c r="E18" s="55">
        <v>19686.88</v>
      </c>
      <c r="F18" s="56">
        <v>1548</v>
      </c>
      <c r="G18" s="56">
        <v>129</v>
      </c>
      <c r="H18" s="56">
        <v>143</v>
      </c>
      <c r="I18" s="57">
        <v>4.5999999999999996</v>
      </c>
      <c r="J18" s="57" t="s">
        <v>186</v>
      </c>
      <c r="K18" s="68" t="str">
        <f t="shared" si="1"/>
        <v>https://amazon.com/dp/B0CT5L1H9B</v>
      </c>
    </row>
    <row r="19" spans="1:11" ht="38.700000000000003" x14ac:dyDescent="0.6">
      <c r="A19" s="29" t="s">
        <v>266</v>
      </c>
      <c r="B19" s="29" t="s">
        <v>267</v>
      </c>
      <c r="C19" s="53">
        <v>132.94970297029701</v>
      </c>
      <c r="D19" s="54">
        <v>161135.04000000001</v>
      </c>
      <c r="E19" s="55">
        <v>13427.92</v>
      </c>
      <c r="F19" s="56">
        <v>1212</v>
      </c>
      <c r="G19" s="56">
        <v>101</v>
      </c>
      <c r="H19" s="56">
        <v>181</v>
      </c>
      <c r="I19" s="57">
        <v>4.3</v>
      </c>
      <c r="J19" s="57" t="s">
        <v>268</v>
      </c>
      <c r="K19" s="68" t="str">
        <f t="shared" si="1"/>
        <v>https://amazon.com/dp/B0CMTX8ZM6</v>
      </c>
    </row>
    <row r="20" spans="1:11" ht="38.700000000000003" x14ac:dyDescent="0.6">
      <c r="A20" s="29" t="s">
        <v>269</v>
      </c>
      <c r="B20" s="29" t="s">
        <v>270</v>
      </c>
      <c r="C20" s="53">
        <v>99.626428571428576</v>
      </c>
      <c r="D20" s="54">
        <v>133897.92000000001</v>
      </c>
      <c r="E20" s="55">
        <v>11158.16</v>
      </c>
      <c r="F20" s="56">
        <v>1344</v>
      </c>
      <c r="G20" s="56">
        <v>112</v>
      </c>
      <c r="H20" s="56">
        <v>1784</v>
      </c>
      <c r="I20" s="57">
        <v>4.4000000000000004</v>
      </c>
      <c r="J20" s="57" t="s">
        <v>271</v>
      </c>
      <c r="K20" s="68" t="str">
        <f t="shared" si="1"/>
        <v>https://amazon.com/dp/B0BYZGT1LV</v>
      </c>
    </row>
    <row r="21" spans="1:11" ht="38.700000000000003" x14ac:dyDescent="0.6">
      <c r="A21" s="29" t="s">
        <v>272</v>
      </c>
      <c r="B21" s="29" t="s">
        <v>273</v>
      </c>
      <c r="C21" s="53">
        <v>66.42051851851852</v>
      </c>
      <c r="D21" s="54">
        <v>107601.24</v>
      </c>
      <c r="E21" s="55">
        <v>8966.77</v>
      </c>
      <c r="F21" s="56">
        <v>1620</v>
      </c>
      <c r="G21" s="56">
        <v>135</v>
      </c>
      <c r="H21" s="56">
        <v>6096</v>
      </c>
      <c r="I21" s="57">
        <v>4.5</v>
      </c>
      <c r="J21" s="57" t="s">
        <v>274</v>
      </c>
      <c r="K21" s="68" t="str">
        <f t="shared" si="1"/>
        <v>https://amazon.com/dp/B09DKKJGS7</v>
      </c>
    </row>
    <row r="22" spans="1:11" ht="38.700000000000003" x14ac:dyDescent="0.6">
      <c r="A22" s="29" t="s">
        <v>275</v>
      </c>
      <c r="B22" s="29" t="s">
        <v>276</v>
      </c>
      <c r="C22" s="53">
        <v>90.388387096774196</v>
      </c>
      <c r="D22" s="54">
        <v>100873.44</v>
      </c>
      <c r="E22" s="55">
        <v>8406.1200000000008</v>
      </c>
      <c r="F22" s="56">
        <v>1116</v>
      </c>
      <c r="G22" s="56">
        <v>93</v>
      </c>
      <c r="H22" s="56">
        <v>442</v>
      </c>
      <c r="I22" s="57">
        <v>4.7</v>
      </c>
      <c r="J22" s="57" t="s">
        <v>277</v>
      </c>
      <c r="K22" s="68" t="str">
        <f t="shared" si="1"/>
        <v>https://amazon.com/dp/B0CB1FPQKG</v>
      </c>
    </row>
    <row r="23" spans="1:11" ht="38.700000000000003" x14ac:dyDescent="0.6">
      <c r="A23" s="29" t="s">
        <v>278</v>
      </c>
      <c r="B23" s="29" t="s">
        <v>279</v>
      </c>
      <c r="C23" s="53">
        <v>40.063264248704662</v>
      </c>
      <c r="D23" s="54">
        <v>92786.52</v>
      </c>
      <c r="E23" s="55">
        <v>7732.21</v>
      </c>
      <c r="F23" s="56">
        <v>2316</v>
      </c>
      <c r="G23" s="56">
        <v>193</v>
      </c>
      <c r="H23" s="56">
        <v>439</v>
      </c>
      <c r="I23" s="57">
        <v>4.5999999999999996</v>
      </c>
      <c r="J23" s="57" t="s">
        <v>280</v>
      </c>
      <c r="K23" s="68" t="str">
        <f t="shared" si="1"/>
        <v>https://amazon.com/dp/B0CQG1RGL6</v>
      </c>
    </row>
    <row r="24" spans="1:11" ht="38.700000000000003" x14ac:dyDescent="0.6">
      <c r="A24" s="29" t="s">
        <v>281</v>
      </c>
      <c r="B24" s="29" t="s">
        <v>282</v>
      </c>
      <c r="C24" s="53">
        <v>100.23918032786889</v>
      </c>
      <c r="D24" s="54">
        <v>73375.08</v>
      </c>
      <c r="E24" s="55">
        <v>6114.59</v>
      </c>
      <c r="F24" s="56">
        <v>732</v>
      </c>
      <c r="G24" s="56">
        <v>61</v>
      </c>
      <c r="H24" s="56">
        <v>178</v>
      </c>
      <c r="I24" s="57">
        <v>4.4000000000000004</v>
      </c>
      <c r="J24" s="57" t="s">
        <v>283</v>
      </c>
      <c r="K24" s="68" t="str">
        <f t="shared" ref="K24:K30" si="2">HYPERLINK(J24)</f>
        <v>https://amazon.com/dp/B0CF9C3QQF</v>
      </c>
    </row>
    <row r="25" spans="1:11" ht="38.700000000000003" x14ac:dyDescent="0.6">
      <c r="A25" s="29" t="s">
        <v>284</v>
      </c>
      <c r="B25" s="29" t="s">
        <v>285</v>
      </c>
      <c r="C25" s="53">
        <v>59.999399999999987</v>
      </c>
      <c r="D25" s="54">
        <v>71999.28</v>
      </c>
      <c r="E25" s="55">
        <v>5999.94</v>
      </c>
      <c r="F25" s="56">
        <v>1200</v>
      </c>
      <c r="G25" s="56">
        <v>100</v>
      </c>
      <c r="H25" s="56">
        <v>396</v>
      </c>
      <c r="I25" s="57">
        <v>4.5</v>
      </c>
      <c r="J25" s="57" t="s">
        <v>286</v>
      </c>
      <c r="K25" s="68" t="str">
        <f t="shared" si="2"/>
        <v>https://amazon.com/dp/B0CP3ZZSMX</v>
      </c>
    </row>
    <row r="26" spans="1:11" ht="38.700000000000003" x14ac:dyDescent="0.6">
      <c r="A26" s="29" t="s">
        <v>287</v>
      </c>
      <c r="B26" s="29" t="s">
        <v>288</v>
      </c>
      <c r="C26" s="53">
        <v>151.63410256410259</v>
      </c>
      <c r="D26" s="54">
        <v>70964.759999999995</v>
      </c>
      <c r="E26" s="55">
        <v>5913.73</v>
      </c>
      <c r="F26" s="56">
        <v>468</v>
      </c>
      <c r="G26" s="56">
        <v>39</v>
      </c>
      <c r="H26" s="56">
        <v>158</v>
      </c>
      <c r="I26" s="57">
        <v>4.5999999999999996</v>
      </c>
      <c r="J26" s="57" t="s">
        <v>289</v>
      </c>
      <c r="K26" s="68" t="str">
        <f t="shared" si="2"/>
        <v>https://amazon.com/dp/B0BVMLS532</v>
      </c>
    </row>
    <row r="27" spans="1:11" ht="38.700000000000003" x14ac:dyDescent="0.6">
      <c r="A27" s="29" t="s">
        <v>290</v>
      </c>
      <c r="B27" s="29" t="s">
        <v>291</v>
      </c>
      <c r="C27" s="53">
        <v>37.963088235294123</v>
      </c>
      <c r="D27" s="54">
        <v>61955.759999999987</v>
      </c>
      <c r="E27" s="55">
        <v>5162.9799999999996</v>
      </c>
      <c r="F27" s="56">
        <v>1632</v>
      </c>
      <c r="G27" s="56">
        <v>136</v>
      </c>
      <c r="H27" s="56">
        <v>21270</v>
      </c>
      <c r="I27" s="57">
        <v>4.2</v>
      </c>
      <c r="J27" s="57" t="s">
        <v>292</v>
      </c>
      <c r="K27" s="68" t="str">
        <f t="shared" si="2"/>
        <v>https://amazon.com/dp/B09GJZG912</v>
      </c>
    </row>
    <row r="28" spans="1:11" ht="38.700000000000003" x14ac:dyDescent="0.6">
      <c r="A28" s="29" t="s">
        <v>293</v>
      </c>
      <c r="B28" s="29" t="s">
        <v>294</v>
      </c>
      <c r="C28" s="53">
        <v>120.4152380952381</v>
      </c>
      <c r="D28" s="54">
        <v>60689.279999999999</v>
      </c>
      <c r="E28" s="55">
        <v>5057.4399999999996</v>
      </c>
      <c r="F28" s="56">
        <v>504</v>
      </c>
      <c r="G28" s="56">
        <v>42</v>
      </c>
      <c r="H28" s="56">
        <v>149</v>
      </c>
      <c r="I28" s="57">
        <v>4.7</v>
      </c>
      <c r="J28" s="57" t="s">
        <v>295</v>
      </c>
      <c r="K28" s="68" t="str">
        <f t="shared" si="2"/>
        <v>https://amazon.com/dp/B0CT3HBT4Y</v>
      </c>
    </row>
    <row r="29" spans="1:11" ht="38.700000000000003" x14ac:dyDescent="0.6">
      <c r="A29" s="29" t="s">
        <v>296</v>
      </c>
      <c r="B29" s="29" t="s">
        <v>297</v>
      </c>
      <c r="C29" s="53">
        <v>22.012207207207211</v>
      </c>
      <c r="D29" s="54">
        <v>58640.52</v>
      </c>
      <c r="E29" s="55">
        <v>4886.71</v>
      </c>
      <c r="F29" s="56">
        <v>2664</v>
      </c>
      <c r="G29" s="56">
        <v>222</v>
      </c>
      <c r="H29" s="56">
        <v>2919</v>
      </c>
      <c r="I29" s="57">
        <v>4.5999999999999996</v>
      </c>
      <c r="J29" s="57" t="s">
        <v>298</v>
      </c>
      <c r="K29" s="68" t="str">
        <f t="shared" si="2"/>
        <v>https://amazon.com/dp/B076D86Z7S</v>
      </c>
    </row>
    <row r="30" spans="1:11" ht="38.700000000000003" x14ac:dyDescent="0.6">
      <c r="A30" s="29" t="s">
        <v>299</v>
      </c>
      <c r="B30" s="29" t="s">
        <v>300</v>
      </c>
      <c r="C30" s="53">
        <v>30.135578947368419</v>
      </c>
      <c r="D30" s="54">
        <v>34354.559999999998</v>
      </c>
      <c r="E30" s="55">
        <v>2862.88</v>
      </c>
      <c r="F30" s="56">
        <v>1140</v>
      </c>
      <c r="G30" s="56">
        <v>95</v>
      </c>
      <c r="H30" s="56">
        <v>143</v>
      </c>
      <c r="I30" s="57">
        <v>4.3</v>
      </c>
      <c r="J30" s="57" t="s">
        <v>301</v>
      </c>
      <c r="K30" s="68" t="str">
        <f t="shared" si="2"/>
        <v>https://amazon.com/dp/B0CGZZFDXH</v>
      </c>
    </row>
    <row r="31" spans="1:11" ht="38.700000000000003" x14ac:dyDescent="0.6">
      <c r="A31" s="29" t="s">
        <v>302</v>
      </c>
      <c r="B31" s="29" t="s">
        <v>303</v>
      </c>
      <c r="C31" s="53">
        <v>50.787599999999998</v>
      </c>
      <c r="D31" s="54">
        <v>15236.28</v>
      </c>
      <c r="E31" s="55">
        <v>1269.69</v>
      </c>
      <c r="F31" s="56">
        <v>300</v>
      </c>
      <c r="G31" s="56">
        <v>25</v>
      </c>
      <c r="H31" s="56">
        <v>296</v>
      </c>
      <c r="I31" s="57">
        <v>4.5999999999999996</v>
      </c>
      <c r="J31" s="57" t="s">
        <v>304</v>
      </c>
      <c r="K31" s="68" t="str">
        <f t="shared" si="0"/>
        <v>https://amazon.com/dp/B0CF89CGRG</v>
      </c>
    </row>
    <row r="32" spans="1:11" ht="38.700000000000003" x14ac:dyDescent="0.6">
      <c r="A32" s="29" t="s">
        <v>305</v>
      </c>
      <c r="B32" s="29" t="s">
        <v>306</v>
      </c>
      <c r="C32" s="53">
        <v>38.964444444444453</v>
      </c>
      <c r="D32" s="54">
        <v>8416.32</v>
      </c>
      <c r="E32" s="55">
        <v>701.36</v>
      </c>
      <c r="F32" s="56">
        <v>216</v>
      </c>
      <c r="G32" s="56">
        <v>18</v>
      </c>
      <c r="H32" s="56">
        <v>222</v>
      </c>
      <c r="I32" s="57">
        <v>4.5</v>
      </c>
      <c r="J32" s="57" t="s">
        <v>307</v>
      </c>
      <c r="K32" s="68" t="str">
        <f t="shared" si="0"/>
        <v>https://amazon.com/dp/B0CJM3HDR1</v>
      </c>
    </row>
    <row r="33" spans="1:11" ht="38.700000000000003" x14ac:dyDescent="0.6">
      <c r="A33" s="29" t="s">
        <v>308</v>
      </c>
      <c r="B33" s="29" t="s">
        <v>309</v>
      </c>
      <c r="C33" s="53">
        <v>69.935555555555553</v>
      </c>
      <c r="D33" s="54">
        <v>7553.0399999999991</v>
      </c>
      <c r="E33" s="55">
        <v>629.41999999999996</v>
      </c>
      <c r="F33" s="56">
        <v>108</v>
      </c>
      <c r="G33" s="56">
        <v>9</v>
      </c>
      <c r="H33" s="56">
        <v>2</v>
      </c>
      <c r="I33" s="57">
        <v>4</v>
      </c>
      <c r="J33" s="57" t="s">
        <v>310</v>
      </c>
      <c r="K33" s="68" t="str">
        <f t="shared" si="0"/>
        <v>https://amazon.com/dp/B0DDT2SF4F</v>
      </c>
    </row>
    <row r="34" spans="1:11" ht="38.700000000000003" x14ac:dyDescent="0.6">
      <c r="A34" s="29" t="s">
        <v>311</v>
      </c>
      <c r="B34" s="29" t="s">
        <v>312</v>
      </c>
      <c r="C34" s="53">
        <v>85.98</v>
      </c>
      <c r="D34" s="54">
        <v>0</v>
      </c>
      <c r="E34" s="55">
        <v>0</v>
      </c>
      <c r="F34" s="56">
        <v>0</v>
      </c>
      <c r="G34" s="56">
        <v>0</v>
      </c>
      <c r="H34" s="56">
        <v>456</v>
      </c>
      <c r="I34" s="57">
        <v>4.5999999999999996</v>
      </c>
      <c r="J34" s="57" t="s">
        <v>313</v>
      </c>
      <c r="K34" s="68" t="str">
        <f>HYPERLINK(J34)</f>
        <v>https://amazon.com/dp/B08VDZBT65</v>
      </c>
    </row>
    <row r="35" spans="1:11" ht="51.6" x14ac:dyDescent="0.6">
      <c r="A35" s="29" t="s">
        <v>314</v>
      </c>
      <c r="B35" s="29" t="s">
        <v>315</v>
      </c>
      <c r="C35" s="53">
        <v>109.99</v>
      </c>
      <c r="D35" s="54">
        <v>0</v>
      </c>
      <c r="E35" s="55">
        <v>0</v>
      </c>
      <c r="F35" s="56">
        <v>0</v>
      </c>
      <c r="G35" s="56">
        <v>0</v>
      </c>
      <c r="H35" s="56">
        <v>1238</v>
      </c>
      <c r="I35" s="57">
        <v>4.4000000000000004</v>
      </c>
      <c r="J35" s="57" t="s">
        <v>316</v>
      </c>
      <c r="K35" s="68" t="str">
        <f t="shared" ref="K35:K36" si="3">HYPERLINK(J35)</f>
        <v>https://amazon.com/dp/B0BP7TMQDD</v>
      </c>
    </row>
    <row r="36" spans="1:11" ht="25.8" x14ac:dyDescent="0.6">
      <c r="A36" s="29" t="s">
        <v>317</v>
      </c>
      <c r="B36" s="29" t="s">
        <v>318</v>
      </c>
      <c r="C36" s="53">
        <v>16.989999999999998</v>
      </c>
      <c r="D36" s="54">
        <v>0</v>
      </c>
      <c r="E36" s="55">
        <v>0</v>
      </c>
      <c r="F36" s="56">
        <v>0</v>
      </c>
      <c r="G36" s="56">
        <v>0</v>
      </c>
      <c r="H36" s="56">
        <v>2009</v>
      </c>
      <c r="I36" s="57">
        <v>4.2</v>
      </c>
      <c r="J36" s="57" t="s">
        <v>319</v>
      </c>
      <c r="K36" s="68" t="str">
        <f t="shared" si="3"/>
        <v>https://amazon.com/dp/B075Q9TBJM</v>
      </c>
    </row>
    <row r="37" spans="1:11" x14ac:dyDescent="0.6">
      <c r="A37" s="32" t="s">
        <v>5</v>
      </c>
      <c r="B37" s="32"/>
      <c r="C37" s="69"/>
      <c r="D37" s="70">
        <f>SUM(D9:D36)</f>
        <v>8602301.8799999971</v>
      </c>
      <c r="E37" s="70">
        <f>SUM(E9:E36)</f>
        <v>716858.48999999976</v>
      </c>
      <c r="F37" s="71"/>
      <c r="G37" s="71"/>
      <c r="H37" s="71"/>
      <c r="I37" s="72"/>
      <c r="J37" s="32"/>
    </row>
    <row r="38" spans="1:11" x14ac:dyDescent="0.6">
      <c r="A38" s="29"/>
      <c r="B38" s="29"/>
      <c r="C38" s="54"/>
      <c r="D38" s="54"/>
      <c r="E38" s="56"/>
      <c r="F38" s="56"/>
      <c r="G38" s="56"/>
      <c r="H38" s="57"/>
      <c r="I38" s="29"/>
    </row>
    <row r="39" spans="1:11" x14ac:dyDescent="0.6">
      <c r="A39" s="29"/>
      <c r="B39" s="29"/>
      <c r="C39" s="54"/>
      <c r="D39" s="54"/>
      <c r="E39" s="56"/>
      <c r="F39" s="56"/>
      <c r="G39" s="56"/>
      <c r="H39" s="57"/>
      <c r="I39" s="29"/>
    </row>
    <row r="40" spans="1:11" x14ac:dyDescent="0.6">
      <c r="A40" s="107" t="s">
        <v>18</v>
      </c>
      <c r="B40" s="107"/>
      <c r="C40" s="107"/>
      <c r="D40" s="107"/>
      <c r="E40" s="107"/>
      <c r="F40" s="107"/>
      <c r="G40" s="107"/>
      <c r="H40" s="107"/>
      <c r="I40" s="107"/>
      <c r="J40" s="107"/>
      <c r="K40" s="107"/>
    </row>
    <row r="41" spans="1:11" x14ac:dyDescent="0.6">
      <c r="A41" s="36" t="s">
        <v>7</v>
      </c>
      <c r="B41" s="37" t="s">
        <v>6</v>
      </c>
      <c r="C41" s="38" t="s">
        <v>12</v>
      </c>
      <c r="D41" s="39" t="s">
        <v>2</v>
      </c>
      <c r="E41" s="37" t="s">
        <v>28</v>
      </c>
      <c r="F41" s="41" t="s">
        <v>14</v>
      </c>
      <c r="G41" s="44" t="s">
        <v>29</v>
      </c>
      <c r="H41" s="41" t="s">
        <v>9</v>
      </c>
      <c r="I41" s="42" t="s">
        <v>13</v>
      </c>
      <c r="J41" s="42" t="s">
        <v>23</v>
      </c>
      <c r="K41" s="43" t="s">
        <v>11</v>
      </c>
    </row>
    <row r="42" spans="1:11" ht="38.700000000000003" x14ac:dyDescent="0.6">
      <c r="A42" s="29" t="s">
        <v>54</v>
      </c>
      <c r="B42" s="29" t="s">
        <v>53</v>
      </c>
      <c r="C42" s="53">
        <v>63.776024981631153</v>
      </c>
      <c r="D42" s="54">
        <v>2083180.08</v>
      </c>
      <c r="E42" s="54">
        <v>173598.34</v>
      </c>
      <c r="F42" s="56">
        <v>32664</v>
      </c>
      <c r="G42" s="58">
        <v>2722</v>
      </c>
      <c r="H42" s="56">
        <v>6096</v>
      </c>
      <c r="I42" s="57">
        <v>4.5</v>
      </c>
      <c r="J42" s="57" t="s">
        <v>55</v>
      </c>
      <c r="K42" s="33" t="str">
        <f>HYPERLINK(J42)</f>
        <v>https://amazon.com/dp/B0928Q3T42</v>
      </c>
    </row>
    <row r="43" spans="1:11" ht="38.700000000000003" x14ac:dyDescent="0.6">
      <c r="A43" s="29" t="s">
        <v>57</v>
      </c>
      <c r="B43" s="29" t="s">
        <v>56</v>
      </c>
      <c r="C43" s="53">
        <v>129.94307142857139</v>
      </c>
      <c r="D43" s="54">
        <v>1746434.88</v>
      </c>
      <c r="E43" s="54">
        <v>145536.24</v>
      </c>
      <c r="F43" s="56">
        <v>13440</v>
      </c>
      <c r="G43" s="58">
        <v>1120</v>
      </c>
      <c r="H43" s="56">
        <v>1784</v>
      </c>
      <c r="I43" s="57">
        <v>4.4000000000000004</v>
      </c>
      <c r="J43" s="57" t="s">
        <v>58</v>
      </c>
      <c r="K43" s="33" t="str">
        <f t="shared" ref="K43" si="4">HYPERLINK(J43)</f>
        <v>https://amazon.com/dp/B0BS1CFFH8</v>
      </c>
    </row>
    <row r="44" spans="1:11" ht="38.700000000000003" x14ac:dyDescent="0.6">
      <c r="A44" s="29" t="s">
        <v>81</v>
      </c>
      <c r="B44" s="29" t="s">
        <v>80</v>
      </c>
      <c r="C44" s="53">
        <v>68.750386904761911</v>
      </c>
      <c r="D44" s="54">
        <v>831604.67999999993</v>
      </c>
      <c r="E44" s="54">
        <v>69300.39</v>
      </c>
      <c r="F44" s="56">
        <v>12096</v>
      </c>
      <c r="G44" s="58">
        <v>1008</v>
      </c>
      <c r="H44" s="56">
        <v>485</v>
      </c>
      <c r="I44" s="57">
        <v>4.5999999999999996</v>
      </c>
      <c r="J44" s="57" t="s">
        <v>82</v>
      </c>
      <c r="K44" s="33" t="str">
        <f>HYPERLINK(J44)</f>
        <v>https://amazon.com/dp/B0CT2CX59S</v>
      </c>
    </row>
    <row r="45" spans="1:11" ht="51.6" x14ac:dyDescent="0.6">
      <c r="A45" s="29" t="s">
        <v>90</v>
      </c>
      <c r="B45" s="29" t="s">
        <v>89</v>
      </c>
      <c r="C45" s="53">
        <v>54.972591836734694</v>
      </c>
      <c r="D45" s="54">
        <v>646477.67999999993</v>
      </c>
      <c r="E45" s="54">
        <v>53873.14</v>
      </c>
      <c r="F45" s="56">
        <v>11760</v>
      </c>
      <c r="G45" s="58">
        <v>980</v>
      </c>
      <c r="H45" s="56">
        <v>2494</v>
      </c>
      <c r="I45" s="57">
        <v>4.4000000000000004</v>
      </c>
      <c r="J45" s="57" t="s">
        <v>91</v>
      </c>
      <c r="K45" s="33" t="str">
        <f>HYPERLINK(J45)</f>
        <v>https://amazon.com/dp/B08NJ8627V</v>
      </c>
    </row>
    <row r="46" spans="1:11" ht="38.700000000000003" x14ac:dyDescent="0.6">
      <c r="A46" s="29" t="s">
        <v>149</v>
      </c>
      <c r="B46" s="29" t="s">
        <v>148</v>
      </c>
      <c r="C46" s="53">
        <v>49.985962199312723</v>
      </c>
      <c r="D46" s="54">
        <v>349101.96</v>
      </c>
      <c r="E46" s="54">
        <v>29091.83</v>
      </c>
      <c r="F46" s="56">
        <v>6984</v>
      </c>
      <c r="G46" s="58">
        <v>582</v>
      </c>
      <c r="H46" s="56">
        <v>169</v>
      </c>
      <c r="I46" s="57">
        <v>4.5</v>
      </c>
      <c r="J46" s="57" t="s">
        <v>150</v>
      </c>
      <c r="K46" s="33" t="str">
        <f>HYPERLINK(J46)</f>
        <v>https://amazon.com/dp/B0DD47VS7S</v>
      </c>
    </row>
    <row r="47" spans="1:11" ht="38.700000000000003" x14ac:dyDescent="0.6">
      <c r="A47" s="29" t="s">
        <v>96</v>
      </c>
      <c r="B47" s="29" t="s">
        <v>95</v>
      </c>
      <c r="C47" s="53">
        <v>121.4450460829493</v>
      </c>
      <c r="D47" s="54">
        <v>632485.80000000005</v>
      </c>
      <c r="E47" s="54">
        <v>52707.15</v>
      </c>
      <c r="F47" s="56">
        <v>5208</v>
      </c>
      <c r="G47" s="58">
        <v>434</v>
      </c>
      <c r="H47" s="56">
        <v>208</v>
      </c>
      <c r="I47" s="57">
        <v>4.5</v>
      </c>
      <c r="J47" s="57" t="s">
        <v>97</v>
      </c>
      <c r="K47" s="33" t="str">
        <f t="shared" ref="K47:K69" si="5">HYPERLINK(J47)</f>
        <v>https://amazon.com/dp/B0DBZ6Q4YH</v>
      </c>
    </row>
    <row r="48" spans="1:11" ht="51.6" x14ac:dyDescent="0.6">
      <c r="A48" s="29" t="s">
        <v>136</v>
      </c>
      <c r="B48" s="29" t="s">
        <v>135</v>
      </c>
      <c r="C48" s="53">
        <v>120.05338345864661</v>
      </c>
      <c r="D48" s="54">
        <v>383210.4</v>
      </c>
      <c r="E48" s="54">
        <v>31934.2</v>
      </c>
      <c r="F48" s="56">
        <v>3192</v>
      </c>
      <c r="G48" s="58">
        <v>266</v>
      </c>
      <c r="H48" s="56">
        <v>1469</v>
      </c>
      <c r="I48" s="57">
        <v>4.5</v>
      </c>
      <c r="J48" s="57" t="s">
        <v>137</v>
      </c>
      <c r="K48" s="33" t="str">
        <f t="shared" si="5"/>
        <v>https://amazon.com/dp/B0BYF9J7V9</v>
      </c>
    </row>
    <row r="49" spans="1:11" ht="38.700000000000003" x14ac:dyDescent="0.6">
      <c r="A49" s="29" t="s">
        <v>146</v>
      </c>
      <c r="B49" s="29" t="s">
        <v>145</v>
      </c>
      <c r="C49" s="53">
        <v>129.79962025316459</v>
      </c>
      <c r="D49" s="54">
        <v>369150.12</v>
      </c>
      <c r="E49" s="54">
        <v>30762.51</v>
      </c>
      <c r="F49" s="56">
        <v>2844</v>
      </c>
      <c r="G49" s="58">
        <v>237</v>
      </c>
      <c r="H49" s="56">
        <v>144</v>
      </c>
      <c r="I49" s="57">
        <v>4.3</v>
      </c>
      <c r="J49" s="57" t="s">
        <v>147</v>
      </c>
      <c r="K49" s="33" t="str">
        <f t="shared" si="5"/>
        <v>https://amazon.com/dp/B0DD351NSB</v>
      </c>
    </row>
    <row r="50" spans="1:11" ht="38.700000000000003" x14ac:dyDescent="0.6">
      <c r="A50" s="29" t="s">
        <v>296</v>
      </c>
      <c r="B50" s="29" t="s">
        <v>297</v>
      </c>
      <c r="C50" s="53">
        <v>22.012207207207211</v>
      </c>
      <c r="D50" s="54">
        <v>58640.52</v>
      </c>
      <c r="E50" s="54">
        <v>4886.71</v>
      </c>
      <c r="F50" s="56">
        <v>2664</v>
      </c>
      <c r="G50" s="58">
        <v>222</v>
      </c>
      <c r="H50" s="56">
        <v>2919</v>
      </c>
      <c r="I50" s="57">
        <v>4.5999999999999996</v>
      </c>
      <c r="J50" s="57" t="s">
        <v>298</v>
      </c>
      <c r="K50" s="33" t="str">
        <f t="shared" si="5"/>
        <v>https://amazon.com/dp/B076D86Z7S</v>
      </c>
    </row>
    <row r="51" spans="1:11" ht="38.700000000000003" x14ac:dyDescent="0.6">
      <c r="A51" s="29" t="s">
        <v>278</v>
      </c>
      <c r="B51" s="29" t="s">
        <v>279</v>
      </c>
      <c r="C51" s="53">
        <v>40.063264248704662</v>
      </c>
      <c r="D51" s="54">
        <v>92786.52</v>
      </c>
      <c r="E51" s="54">
        <v>7732.21</v>
      </c>
      <c r="F51" s="56">
        <v>2316</v>
      </c>
      <c r="G51" s="58">
        <v>193</v>
      </c>
      <c r="H51" s="56">
        <v>439</v>
      </c>
      <c r="I51" s="57">
        <v>4.5999999999999996</v>
      </c>
      <c r="J51" s="57" t="s">
        <v>280</v>
      </c>
      <c r="K51" s="33" t="str">
        <f t="shared" si="5"/>
        <v>https://amazon.com/dp/B0CQG1RGL6</v>
      </c>
    </row>
    <row r="52" spans="1:11" ht="38.700000000000003" x14ac:dyDescent="0.6">
      <c r="A52" s="29" t="s">
        <v>290</v>
      </c>
      <c r="B52" s="29" t="s">
        <v>291</v>
      </c>
      <c r="C52" s="53">
        <v>37.963088235294123</v>
      </c>
      <c r="D52" s="54">
        <v>61955.759999999987</v>
      </c>
      <c r="E52" s="54">
        <v>5162.9799999999996</v>
      </c>
      <c r="F52" s="56">
        <v>1632</v>
      </c>
      <c r="G52" s="58">
        <v>136</v>
      </c>
      <c r="H52" s="56">
        <v>21270</v>
      </c>
      <c r="I52" s="57">
        <v>4.2</v>
      </c>
      <c r="J52" s="57" t="s">
        <v>292</v>
      </c>
      <c r="K52" s="33" t="str">
        <f t="shared" si="5"/>
        <v>https://amazon.com/dp/B09GJZG912</v>
      </c>
    </row>
    <row r="53" spans="1:11" ht="38.700000000000003" x14ac:dyDescent="0.6">
      <c r="A53" s="29" t="s">
        <v>272</v>
      </c>
      <c r="B53" s="29" t="s">
        <v>273</v>
      </c>
      <c r="C53" s="53">
        <v>66.42051851851852</v>
      </c>
      <c r="D53" s="54">
        <v>107601.24</v>
      </c>
      <c r="E53" s="54">
        <v>8966.77</v>
      </c>
      <c r="F53" s="56">
        <v>1620</v>
      </c>
      <c r="G53" s="58">
        <v>135</v>
      </c>
      <c r="H53" s="56">
        <v>6096</v>
      </c>
      <c r="I53" s="57">
        <v>4.5</v>
      </c>
      <c r="J53" s="57" t="s">
        <v>274</v>
      </c>
      <c r="K53" s="33" t="str">
        <f t="shared" si="5"/>
        <v>https://amazon.com/dp/B09DKKJGS7</v>
      </c>
    </row>
    <row r="54" spans="1:11" ht="38.700000000000003" x14ac:dyDescent="0.6">
      <c r="A54" s="29" t="s">
        <v>185</v>
      </c>
      <c r="B54" s="29" t="s">
        <v>184</v>
      </c>
      <c r="C54" s="53">
        <v>152.61147286821699</v>
      </c>
      <c r="D54" s="54">
        <v>236242.56</v>
      </c>
      <c r="E54" s="54">
        <v>19686.88</v>
      </c>
      <c r="F54" s="56">
        <v>1548</v>
      </c>
      <c r="G54" s="58">
        <v>129</v>
      </c>
      <c r="H54" s="56">
        <v>143</v>
      </c>
      <c r="I54" s="57">
        <v>4.5999999999999996</v>
      </c>
      <c r="J54" s="57" t="s">
        <v>186</v>
      </c>
      <c r="K54" s="33" t="str">
        <f t="shared" si="5"/>
        <v>https://amazon.com/dp/B0CT5L1H9B</v>
      </c>
    </row>
    <row r="55" spans="1:11" ht="38.700000000000003" x14ac:dyDescent="0.6">
      <c r="A55" s="29" t="s">
        <v>269</v>
      </c>
      <c r="B55" s="29" t="s">
        <v>270</v>
      </c>
      <c r="C55" s="53">
        <v>99.626428571428576</v>
      </c>
      <c r="D55" s="54">
        <v>133897.92000000001</v>
      </c>
      <c r="E55" s="54">
        <v>11158.16</v>
      </c>
      <c r="F55" s="56">
        <v>1344</v>
      </c>
      <c r="G55" s="58">
        <v>112</v>
      </c>
      <c r="H55" s="56">
        <v>1784</v>
      </c>
      <c r="I55" s="57">
        <v>4.4000000000000004</v>
      </c>
      <c r="J55" s="57" t="s">
        <v>271</v>
      </c>
      <c r="K55" s="33" t="str">
        <f t="shared" si="5"/>
        <v>https://amazon.com/dp/B0BYZGT1LV</v>
      </c>
    </row>
    <row r="56" spans="1:11" ht="38.700000000000003" x14ac:dyDescent="0.6">
      <c r="A56" s="29" t="s">
        <v>266</v>
      </c>
      <c r="B56" s="29" t="s">
        <v>267</v>
      </c>
      <c r="C56" s="53">
        <v>132.94970297029701</v>
      </c>
      <c r="D56" s="54">
        <v>161135.04000000001</v>
      </c>
      <c r="E56" s="54">
        <v>13427.92</v>
      </c>
      <c r="F56" s="56">
        <v>1212</v>
      </c>
      <c r="G56" s="58">
        <v>101</v>
      </c>
      <c r="H56" s="56">
        <v>181</v>
      </c>
      <c r="I56" s="57">
        <v>4.3</v>
      </c>
      <c r="J56" s="57" t="s">
        <v>268</v>
      </c>
      <c r="K56" s="33" t="str">
        <f t="shared" si="5"/>
        <v>https://amazon.com/dp/B0CMTX8ZM6</v>
      </c>
    </row>
    <row r="57" spans="1:11" ht="38.700000000000003" x14ac:dyDescent="0.6">
      <c r="A57" s="29" t="s">
        <v>284</v>
      </c>
      <c r="B57" s="29" t="s">
        <v>285</v>
      </c>
      <c r="C57" s="53">
        <v>59.999399999999987</v>
      </c>
      <c r="D57" s="54">
        <v>71999.28</v>
      </c>
      <c r="E57" s="54">
        <v>5999.94</v>
      </c>
      <c r="F57" s="56">
        <v>1200</v>
      </c>
      <c r="G57" s="58">
        <v>100</v>
      </c>
      <c r="H57" s="56">
        <v>396</v>
      </c>
      <c r="I57" s="57">
        <v>4.5</v>
      </c>
      <c r="J57" s="57" t="s">
        <v>286</v>
      </c>
      <c r="K57" s="33" t="str">
        <f t="shared" si="5"/>
        <v>https://amazon.com/dp/B0CP3ZZSMX</v>
      </c>
    </row>
    <row r="58" spans="1:11" ht="38.700000000000003" x14ac:dyDescent="0.6">
      <c r="A58" s="29" t="s">
        <v>299</v>
      </c>
      <c r="B58" s="29" t="s">
        <v>300</v>
      </c>
      <c r="C58" s="53">
        <v>30.135578947368419</v>
      </c>
      <c r="D58" s="54">
        <v>34354.559999999998</v>
      </c>
      <c r="E58" s="54">
        <v>2862.88</v>
      </c>
      <c r="F58" s="56">
        <v>1140</v>
      </c>
      <c r="G58" s="58">
        <v>95</v>
      </c>
      <c r="H58" s="56">
        <v>143</v>
      </c>
      <c r="I58" s="57">
        <v>4.3</v>
      </c>
      <c r="J58" s="57" t="s">
        <v>301</v>
      </c>
      <c r="K58" s="33" t="str">
        <f t="shared" si="5"/>
        <v>https://amazon.com/dp/B0CGZZFDXH</v>
      </c>
    </row>
    <row r="59" spans="1:11" ht="38.700000000000003" x14ac:dyDescent="0.6">
      <c r="A59" s="29" t="s">
        <v>275</v>
      </c>
      <c r="B59" s="29" t="s">
        <v>276</v>
      </c>
      <c r="C59" s="53">
        <v>90.388387096774196</v>
      </c>
      <c r="D59" s="54">
        <v>100873.44</v>
      </c>
      <c r="E59" s="54">
        <v>8406.1200000000008</v>
      </c>
      <c r="F59" s="56">
        <v>1116</v>
      </c>
      <c r="G59" s="58">
        <v>93</v>
      </c>
      <c r="H59" s="56">
        <v>442</v>
      </c>
      <c r="I59" s="57">
        <v>4.7</v>
      </c>
      <c r="J59" s="57" t="s">
        <v>277</v>
      </c>
      <c r="K59" s="33" t="str">
        <f t="shared" si="5"/>
        <v>https://amazon.com/dp/B0CB1FPQKG</v>
      </c>
    </row>
    <row r="60" spans="1:11" ht="38.700000000000003" x14ac:dyDescent="0.6">
      <c r="A60" s="29" t="s">
        <v>175</v>
      </c>
      <c r="B60" s="29" t="s">
        <v>174</v>
      </c>
      <c r="C60" s="53">
        <v>239.9770652173913</v>
      </c>
      <c r="D60" s="54">
        <v>264934.68</v>
      </c>
      <c r="E60" s="54">
        <v>22077.89</v>
      </c>
      <c r="F60" s="56">
        <v>1104</v>
      </c>
      <c r="G60" s="58">
        <v>92</v>
      </c>
      <c r="H60" s="56">
        <v>154</v>
      </c>
      <c r="I60" s="57">
        <v>4.5999999999999996</v>
      </c>
      <c r="J60" s="57" t="s">
        <v>176</v>
      </c>
      <c r="K60" s="33" t="str">
        <f t="shared" si="5"/>
        <v>https://amazon.com/dp/B0BVML78W1</v>
      </c>
    </row>
    <row r="61" spans="1:11" ht="38.700000000000003" x14ac:dyDescent="0.6">
      <c r="A61" s="29" t="s">
        <v>281</v>
      </c>
      <c r="B61" s="29" t="s">
        <v>282</v>
      </c>
      <c r="C61" s="53">
        <v>100.23918032786889</v>
      </c>
      <c r="D61" s="54">
        <v>73375.08</v>
      </c>
      <c r="E61" s="54">
        <v>6114.59</v>
      </c>
      <c r="F61" s="56">
        <v>732</v>
      </c>
      <c r="G61" s="58">
        <v>61</v>
      </c>
      <c r="H61" s="56">
        <v>178</v>
      </c>
      <c r="I61" s="57">
        <v>4.4000000000000004</v>
      </c>
      <c r="J61" s="57" t="s">
        <v>283</v>
      </c>
      <c r="K61" s="33" t="str">
        <f t="shared" si="5"/>
        <v>https://amazon.com/dp/B0CF9C3QQF</v>
      </c>
    </row>
    <row r="62" spans="1:11" ht="38.700000000000003" x14ac:dyDescent="0.6">
      <c r="A62" s="29" t="s">
        <v>293</v>
      </c>
      <c r="B62" s="29" t="s">
        <v>294</v>
      </c>
      <c r="C62" s="53">
        <v>120.4152380952381</v>
      </c>
      <c r="D62" s="54">
        <v>60689.279999999999</v>
      </c>
      <c r="E62" s="54">
        <v>5057.4399999999996</v>
      </c>
      <c r="F62" s="56">
        <v>504</v>
      </c>
      <c r="G62" s="58">
        <v>42</v>
      </c>
      <c r="H62" s="56">
        <v>149</v>
      </c>
      <c r="I62" s="57">
        <v>4.7</v>
      </c>
      <c r="J62" s="57" t="s">
        <v>295</v>
      </c>
      <c r="K62" s="33" t="str">
        <f t="shared" si="5"/>
        <v>https://amazon.com/dp/B0CT3HBT4Y</v>
      </c>
    </row>
    <row r="63" spans="1:11" ht="38.700000000000003" x14ac:dyDescent="0.6">
      <c r="A63" s="29" t="s">
        <v>287</v>
      </c>
      <c r="B63" s="29" t="s">
        <v>288</v>
      </c>
      <c r="C63" s="53">
        <v>151.63410256410259</v>
      </c>
      <c r="D63" s="54">
        <v>70964.759999999995</v>
      </c>
      <c r="E63" s="54">
        <v>5913.73</v>
      </c>
      <c r="F63" s="56">
        <v>468</v>
      </c>
      <c r="G63" s="58">
        <v>39</v>
      </c>
      <c r="H63" s="56">
        <v>158</v>
      </c>
      <c r="I63" s="57">
        <v>4.5999999999999996</v>
      </c>
      <c r="J63" s="57" t="s">
        <v>289</v>
      </c>
      <c r="K63" s="33" t="str">
        <f t="shared" si="5"/>
        <v>https://amazon.com/dp/B0BVMLS532</v>
      </c>
    </row>
    <row r="64" spans="1:11" ht="38.700000000000003" x14ac:dyDescent="0.6">
      <c r="A64" s="29" t="s">
        <v>302</v>
      </c>
      <c r="B64" s="29" t="s">
        <v>303</v>
      </c>
      <c r="C64" s="53">
        <v>50.787599999999998</v>
      </c>
      <c r="D64" s="54">
        <v>15236.28</v>
      </c>
      <c r="E64" s="54">
        <v>1269.69</v>
      </c>
      <c r="F64" s="56">
        <v>300</v>
      </c>
      <c r="G64" s="58">
        <v>25</v>
      </c>
      <c r="H64" s="56">
        <v>296</v>
      </c>
      <c r="I64" s="57">
        <v>4.5999999999999996</v>
      </c>
      <c r="J64" s="57" t="s">
        <v>304</v>
      </c>
      <c r="K64" s="33" t="str">
        <f t="shared" si="5"/>
        <v>https://amazon.com/dp/B0CF89CGRG</v>
      </c>
    </row>
    <row r="65" spans="1:11" ht="38.700000000000003" x14ac:dyDescent="0.6">
      <c r="A65" s="29" t="s">
        <v>305</v>
      </c>
      <c r="B65" s="29" t="s">
        <v>306</v>
      </c>
      <c r="C65" s="53">
        <v>38.964444444444453</v>
      </c>
      <c r="D65" s="54">
        <v>8416.32</v>
      </c>
      <c r="E65" s="54">
        <v>701.36</v>
      </c>
      <c r="F65" s="56">
        <v>216</v>
      </c>
      <c r="G65" s="58">
        <v>18</v>
      </c>
      <c r="H65" s="56">
        <v>222</v>
      </c>
      <c r="I65" s="57">
        <v>4.5</v>
      </c>
      <c r="J65" s="57" t="s">
        <v>307</v>
      </c>
      <c r="K65" s="33" t="str">
        <f t="shared" si="5"/>
        <v>https://amazon.com/dp/B0CJM3HDR1</v>
      </c>
    </row>
    <row r="66" spans="1:11" ht="38.700000000000003" x14ac:dyDescent="0.6">
      <c r="A66" s="29" t="s">
        <v>308</v>
      </c>
      <c r="B66" s="29" t="s">
        <v>309</v>
      </c>
      <c r="C66" s="53">
        <v>69.935555555555553</v>
      </c>
      <c r="D66" s="54">
        <v>7553.0399999999991</v>
      </c>
      <c r="E66" s="54">
        <v>629.41999999999996</v>
      </c>
      <c r="F66" s="56">
        <v>108</v>
      </c>
      <c r="G66" s="58">
        <v>9</v>
      </c>
      <c r="H66" s="56">
        <v>2</v>
      </c>
      <c r="I66" s="57">
        <v>4</v>
      </c>
      <c r="J66" s="57" t="s">
        <v>310</v>
      </c>
      <c r="K66" s="33" t="str">
        <f t="shared" si="5"/>
        <v>https://amazon.com/dp/B0DDT2SF4F</v>
      </c>
    </row>
    <row r="67" spans="1:11" ht="38.700000000000003" x14ac:dyDescent="0.6">
      <c r="A67" s="29" t="s">
        <v>311</v>
      </c>
      <c r="B67" s="29" t="s">
        <v>312</v>
      </c>
      <c r="C67" s="53">
        <v>85.98</v>
      </c>
      <c r="D67" s="54">
        <v>0</v>
      </c>
      <c r="E67" s="54">
        <v>0</v>
      </c>
      <c r="F67" s="56">
        <v>0</v>
      </c>
      <c r="G67" s="58">
        <v>0</v>
      </c>
      <c r="H67" s="56">
        <v>456</v>
      </c>
      <c r="I67" s="57">
        <v>4.5999999999999996</v>
      </c>
      <c r="J67" s="57" t="s">
        <v>313</v>
      </c>
      <c r="K67" s="33" t="str">
        <f t="shared" si="5"/>
        <v>https://amazon.com/dp/B08VDZBT65</v>
      </c>
    </row>
    <row r="68" spans="1:11" ht="51.6" x14ac:dyDescent="0.6">
      <c r="A68" s="29" t="s">
        <v>314</v>
      </c>
      <c r="B68" s="29" t="s">
        <v>315</v>
      </c>
      <c r="C68" s="53">
        <v>109.99</v>
      </c>
      <c r="D68" s="54">
        <v>0</v>
      </c>
      <c r="E68" s="54">
        <v>0</v>
      </c>
      <c r="F68" s="56">
        <v>0</v>
      </c>
      <c r="G68" s="58">
        <v>0</v>
      </c>
      <c r="H68" s="56">
        <v>1238</v>
      </c>
      <c r="I68" s="57">
        <v>4.4000000000000004</v>
      </c>
      <c r="J68" s="57" t="s">
        <v>316</v>
      </c>
      <c r="K68" s="33" t="str">
        <f t="shared" si="5"/>
        <v>https://amazon.com/dp/B0BP7TMQDD</v>
      </c>
    </row>
    <row r="69" spans="1:11" ht="25.8" x14ac:dyDescent="0.6">
      <c r="A69" s="29" t="s">
        <v>317</v>
      </c>
      <c r="B69" s="29" t="s">
        <v>318</v>
      </c>
      <c r="C69" s="53">
        <v>16.989999999999998</v>
      </c>
      <c r="D69" s="54">
        <v>0</v>
      </c>
      <c r="E69" s="54">
        <v>0</v>
      </c>
      <c r="F69" s="56">
        <v>0</v>
      </c>
      <c r="G69" s="58">
        <v>0</v>
      </c>
      <c r="H69" s="56">
        <v>2009</v>
      </c>
      <c r="I69" s="57">
        <v>4.2</v>
      </c>
      <c r="J69" s="57" t="s">
        <v>319</v>
      </c>
      <c r="K69" s="33" t="str">
        <f t="shared" si="5"/>
        <v>https://amazon.com/dp/B075Q9TBJM</v>
      </c>
    </row>
    <row r="70" spans="1:11" x14ac:dyDescent="0.6">
      <c r="A70" s="32" t="s">
        <v>5</v>
      </c>
      <c r="B70" s="32"/>
      <c r="C70" s="70"/>
      <c r="D70" s="70"/>
      <c r="E70" s="70"/>
      <c r="F70" s="71">
        <f>SUM(Table4316[Estimated 12mo Units])</f>
        <v>107412</v>
      </c>
      <c r="G70" s="71">
        <f>SUM(Table4316[Monthly Units])</f>
        <v>8951</v>
      </c>
      <c r="H70" s="71"/>
      <c r="I70" s="72"/>
      <c r="J70" s="32"/>
    </row>
  </sheetData>
  <mergeCells count="3">
    <mergeCell ref="A1:K5"/>
    <mergeCell ref="A7:K7"/>
    <mergeCell ref="A40:K40"/>
  </mergeCells>
  <hyperlinks>
    <hyperlink ref="K42" r:id="rId1" display="https://amazon.com/dp/B07S7H86Z1" xr:uid="{24A42D11-B4CF-4ABC-9EF1-99ED994D9EBD}"/>
    <hyperlink ref="K43" r:id="rId2" display="https://amazon.com/dp/B07S7H86Z1" xr:uid="{AED6CD60-1FEF-4238-9622-75D6413A695D}"/>
  </hyperlinks>
  <pageMargins left="0.7" right="0.7" top="0.75" bottom="0.75" header="0.3" footer="0.3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2103-5E36-4761-B254-C1AE393FE207}">
  <dimension ref="A1:K20"/>
  <sheetViews>
    <sheetView workbookViewId="0">
      <selection activeCell="K9" sqref="K9"/>
    </sheetView>
  </sheetViews>
  <sheetFormatPr defaultColWidth="12.59765625" defaultRowHeight="15.6" x14ac:dyDescent="0.6"/>
  <cols>
    <col min="1" max="1" width="50.59765625" style="30" customWidth="1"/>
    <col min="2" max="2" width="12.59765625" style="30" customWidth="1"/>
    <col min="3" max="3" width="10.84765625" style="52" bestFit="1" customWidth="1"/>
    <col min="4" max="4" width="24.84765625" style="52" bestFit="1" customWidth="1"/>
    <col min="5" max="5" width="17.75" style="60" bestFit="1" customWidth="1"/>
    <col min="6" max="6" width="21.75" style="60" bestFit="1" customWidth="1"/>
    <col min="7" max="7" width="19.09765625" style="60" bestFit="1" customWidth="1"/>
    <col min="8" max="8" width="13.5" style="35" bestFit="1" customWidth="1"/>
    <col min="9" max="9" width="12.59765625" style="30" bestFit="1" customWidth="1"/>
    <col min="10" max="10" width="35.59765625" style="30" hidden="1" customWidth="1"/>
    <col min="11" max="11" width="35.59765625" style="30" customWidth="1"/>
    <col min="12" max="16384" width="12.59765625" style="30"/>
  </cols>
  <sheetData>
    <row r="1" spans="1:11" x14ac:dyDescent="0.6">
      <c r="A1" s="109" t="e" vm="3">
        <v>#VALUE!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x14ac:dyDescent="0.6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x14ac:dyDescent="0.6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</row>
    <row r="4" spans="1:11" x14ac:dyDescent="0.6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</row>
    <row r="5" spans="1:11" x14ac:dyDescent="0.6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</row>
    <row r="6" spans="1:11" x14ac:dyDescent="0.6">
      <c r="B6" s="49"/>
      <c r="D6" s="49"/>
      <c r="E6" s="50"/>
      <c r="F6" s="50"/>
      <c r="G6" s="50"/>
      <c r="H6" s="51"/>
      <c r="I6" s="49"/>
    </row>
    <row r="7" spans="1:11" x14ac:dyDescent="0.6">
      <c r="A7" s="107" t="s">
        <v>19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</row>
    <row r="8" spans="1:11" x14ac:dyDescent="0.6">
      <c r="A8" s="36" t="s">
        <v>7</v>
      </c>
      <c r="B8" s="37" t="s">
        <v>6</v>
      </c>
      <c r="C8" s="38" t="s">
        <v>12</v>
      </c>
      <c r="D8" s="39" t="s">
        <v>2</v>
      </c>
      <c r="E8" s="37" t="s">
        <v>28</v>
      </c>
      <c r="F8" s="41" t="s">
        <v>14</v>
      </c>
      <c r="G8" s="44" t="s">
        <v>29</v>
      </c>
      <c r="H8" s="41" t="s">
        <v>9</v>
      </c>
      <c r="I8" s="42" t="s">
        <v>13</v>
      </c>
      <c r="J8" s="42" t="s">
        <v>23</v>
      </c>
      <c r="K8" s="43" t="s">
        <v>11</v>
      </c>
    </row>
    <row r="9" spans="1:11" ht="38.700000000000003" x14ac:dyDescent="0.6">
      <c r="A9" s="29" t="s">
        <v>51</v>
      </c>
      <c r="B9" s="29" t="s">
        <v>50</v>
      </c>
      <c r="C9" s="53">
        <v>139.4190909090909</v>
      </c>
      <c r="D9" s="54">
        <v>2926127.88</v>
      </c>
      <c r="E9" s="55">
        <v>243843.99</v>
      </c>
      <c r="F9" s="56">
        <v>20988</v>
      </c>
      <c r="G9" s="56">
        <v>1749</v>
      </c>
      <c r="H9" s="56">
        <v>1053</v>
      </c>
      <c r="I9" s="57">
        <v>4.5999999999999996</v>
      </c>
      <c r="J9" s="57" t="s">
        <v>52</v>
      </c>
      <c r="K9" s="68" t="str">
        <f>HYPERLINK(J9)</f>
        <v>https://amazon.com/dp/B0B28HRSBP</v>
      </c>
    </row>
    <row r="10" spans="1:11" ht="38.700000000000003" x14ac:dyDescent="0.6">
      <c r="A10" s="29" t="s">
        <v>188</v>
      </c>
      <c r="B10" s="29" t="s">
        <v>187</v>
      </c>
      <c r="C10" s="53">
        <v>219.9965517241379</v>
      </c>
      <c r="D10" s="54">
        <v>229676.4</v>
      </c>
      <c r="E10" s="55">
        <v>19139.7</v>
      </c>
      <c r="F10" s="56">
        <v>1044</v>
      </c>
      <c r="G10" s="56">
        <v>87</v>
      </c>
      <c r="H10" s="56">
        <v>46</v>
      </c>
      <c r="I10" s="57">
        <v>3.9</v>
      </c>
      <c r="J10" s="57" t="s">
        <v>189</v>
      </c>
      <c r="K10" s="68" t="str">
        <f t="shared" ref="K10" si="0">HYPERLINK(J10)</f>
        <v>https://amazon.com/dp/B0CJ8TBWG8</v>
      </c>
    </row>
    <row r="11" spans="1:11" ht="38.700000000000003" x14ac:dyDescent="0.6">
      <c r="A11" s="29" t="s">
        <v>248</v>
      </c>
      <c r="B11" s="29" t="s">
        <v>249</v>
      </c>
      <c r="C11" s="53">
        <v>16.989999999999998</v>
      </c>
      <c r="D11" s="54">
        <v>0</v>
      </c>
      <c r="E11" s="55">
        <v>0</v>
      </c>
      <c r="F11" s="56">
        <v>0</v>
      </c>
      <c r="G11" s="56">
        <v>0</v>
      </c>
      <c r="H11" s="56">
        <v>5</v>
      </c>
      <c r="I11" s="57">
        <v>5</v>
      </c>
      <c r="J11" s="57" t="s">
        <v>250</v>
      </c>
      <c r="K11" s="68" t="str">
        <f>HYPERLINK(J11)</f>
        <v>https://amazon.com/dp/B0BFCMW8KS</v>
      </c>
    </row>
    <row r="12" spans="1:11" x14ac:dyDescent="0.6">
      <c r="A12" s="32" t="s">
        <v>5</v>
      </c>
      <c r="B12" s="32"/>
      <c r="C12" s="69"/>
      <c r="D12" s="70">
        <f>SUM(D9:D11)</f>
        <v>3155804.28</v>
      </c>
      <c r="E12" s="70">
        <f>SUM(E9:E11)</f>
        <v>262983.69</v>
      </c>
      <c r="F12" s="71"/>
      <c r="G12" s="71"/>
      <c r="H12" s="71"/>
      <c r="I12" s="72"/>
      <c r="J12" s="32"/>
      <c r="K12" s="31"/>
    </row>
    <row r="15" spans="1:11" x14ac:dyDescent="0.6">
      <c r="A15" s="107" t="s">
        <v>18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</row>
    <row r="16" spans="1:11" x14ac:dyDescent="0.6">
      <c r="A16" s="36" t="s">
        <v>7</v>
      </c>
      <c r="B16" s="37" t="s">
        <v>6</v>
      </c>
      <c r="C16" s="38" t="s">
        <v>12</v>
      </c>
      <c r="D16" s="39" t="s">
        <v>2</v>
      </c>
      <c r="E16" s="37" t="s">
        <v>28</v>
      </c>
      <c r="F16" s="41" t="s">
        <v>14</v>
      </c>
      <c r="G16" s="44" t="s">
        <v>29</v>
      </c>
      <c r="H16" s="41" t="s">
        <v>9</v>
      </c>
      <c r="I16" s="42" t="s">
        <v>13</v>
      </c>
      <c r="J16" s="42" t="s">
        <v>23</v>
      </c>
      <c r="K16" s="43" t="s">
        <v>11</v>
      </c>
    </row>
    <row r="17" spans="1:11" ht="38.700000000000003" x14ac:dyDescent="0.6">
      <c r="A17" s="29" t="s">
        <v>51</v>
      </c>
      <c r="B17" s="29" t="s">
        <v>50</v>
      </c>
      <c r="C17" s="53">
        <v>139.4190909090909</v>
      </c>
      <c r="D17" s="54">
        <v>2926127.88</v>
      </c>
      <c r="E17" s="54">
        <v>243843.99</v>
      </c>
      <c r="F17" s="56">
        <v>20988</v>
      </c>
      <c r="G17" s="58">
        <v>1749</v>
      </c>
      <c r="H17" s="56">
        <v>1053</v>
      </c>
      <c r="I17" s="57">
        <v>4.5999999999999996</v>
      </c>
      <c r="J17" s="57" t="s">
        <v>52</v>
      </c>
      <c r="K17" s="68" t="str">
        <f>HYPERLINK(J17)</f>
        <v>https://amazon.com/dp/B0B28HRSBP</v>
      </c>
    </row>
    <row r="18" spans="1:11" ht="38.700000000000003" x14ac:dyDescent="0.6">
      <c r="A18" s="29" t="s">
        <v>188</v>
      </c>
      <c r="B18" s="29" t="s">
        <v>187</v>
      </c>
      <c r="C18" s="53">
        <v>219.9965517241379</v>
      </c>
      <c r="D18" s="54">
        <v>229676.4</v>
      </c>
      <c r="E18" s="54">
        <v>19139.7</v>
      </c>
      <c r="F18" s="56">
        <v>1044</v>
      </c>
      <c r="G18" s="58">
        <v>87</v>
      </c>
      <c r="H18" s="56">
        <v>46</v>
      </c>
      <c r="I18" s="57">
        <v>3.9</v>
      </c>
      <c r="J18" s="57" t="s">
        <v>189</v>
      </c>
      <c r="K18" s="68" t="str">
        <f>HYPERLINK(J18)</f>
        <v>https://amazon.com/dp/B0CJ8TBWG8</v>
      </c>
    </row>
    <row r="19" spans="1:11" ht="38.700000000000003" x14ac:dyDescent="0.6">
      <c r="A19" s="29" t="s">
        <v>248</v>
      </c>
      <c r="B19" s="29" t="s">
        <v>249</v>
      </c>
      <c r="C19" s="53">
        <v>16.989999999999998</v>
      </c>
      <c r="D19" s="54">
        <v>0</v>
      </c>
      <c r="E19" s="54">
        <v>0</v>
      </c>
      <c r="F19" s="56">
        <v>0</v>
      </c>
      <c r="G19" s="58">
        <v>0</v>
      </c>
      <c r="H19" s="56">
        <v>5</v>
      </c>
      <c r="I19" s="57">
        <v>5</v>
      </c>
      <c r="J19" s="57" t="s">
        <v>250</v>
      </c>
      <c r="K19" s="68" t="str">
        <f>HYPERLINK(J19)</f>
        <v>https://amazon.com/dp/B0BFCMW8KS</v>
      </c>
    </row>
    <row r="20" spans="1:11" x14ac:dyDescent="0.6">
      <c r="A20" s="32" t="s">
        <v>5</v>
      </c>
      <c r="B20" s="32"/>
      <c r="C20" s="70"/>
      <c r="D20" s="70"/>
      <c r="E20" s="70"/>
      <c r="F20" s="71">
        <f>SUM(DZXtoz!F17:F19)</f>
        <v>22032</v>
      </c>
      <c r="G20" s="71">
        <f>SUM(DZXtoz!G17:G19)</f>
        <v>1836</v>
      </c>
      <c r="H20" s="71"/>
      <c r="I20" s="72"/>
      <c r="J20" s="32"/>
      <c r="K20" s="31"/>
    </row>
  </sheetData>
  <mergeCells count="3">
    <mergeCell ref="A1:K5"/>
    <mergeCell ref="A7:K7"/>
    <mergeCell ref="A15:K15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3A569-657B-4DDA-8A22-3EFE0BE80898}">
  <dimension ref="A1:K18"/>
  <sheetViews>
    <sheetView workbookViewId="0">
      <selection sqref="A1:K5"/>
    </sheetView>
  </sheetViews>
  <sheetFormatPr defaultColWidth="12.59765625" defaultRowHeight="15.6" x14ac:dyDescent="0.6"/>
  <cols>
    <col min="1" max="1" width="50.59765625" style="30" customWidth="1"/>
    <col min="2" max="2" width="12.59765625" style="30" customWidth="1"/>
    <col min="3" max="3" width="10.84765625" style="52" bestFit="1" customWidth="1"/>
    <col min="4" max="4" width="24.84765625" style="52" bestFit="1" customWidth="1"/>
    <col min="5" max="5" width="17.75" style="60" bestFit="1" customWidth="1"/>
    <col min="6" max="6" width="21.75" style="60" bestFit="1" customWidth="1"/>
    <col min="7" max="7" width="19.09765625" style="60" bestFit="1" customWidth="1"/>
    <col min="8" max="8" width="13.5" style="35" bestFit="1" customWidth="1"/>
    <col min="9" max="9" width="12.59765625" style="30" bestFit="1" customWidth="1"/>
    <col min="10" max="10" width="35.59765625" style="30" hidden="1" customWidth="1"/>
    <col min="11" max="11" width="35.59765625" style="30" customWidth="1"/>
    <col min="12" max="16384" width="12.59765625" style="30"/>
  </cols>
  <sheetData>
    <row r="1" spans="1:11" x14ac:dyDescent="0.6">
      <c r="A1" s="109" t="e" vm="4">
        <v>#VALUE!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x14ac:dyDescent="0.6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x14ac:dyDescent="0.6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</row>
    <row r="4" spans="1:11" x14ac:dyDescent="0.6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</row>
    <row r="5" spans="1:11" x14ac:dyDescent="0.6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</row>
    <row r="6" spans="1:11" x14ac:dyDescent="0.6">
      <c r="B6" s="49"/>
      <c r="D6" s="49"/>
      <c r="E6" s="50"/>
      <c r="F6" s="50"/>
      <c r="G6" s="50"/>
      <c r="H6" s="51"/>
      <c r="I6" s="49"/>
    </row>
    <row r="7" spans="1:11" x14ac:dyDescent="0.6">
      <c r="A7" s="107" t="s">
        <v>19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</row>
    <row r="8" spans="1:11" x14ac:dyDescent="0.6">
      <c r="A8" s="36" t="s">
        <v>7</v>
      </c>
      <c r="B8" s="37" t="s">
        <v>6</v>
      </c>
      <c r="C8" s="38" t="s">
        <v>12</v>
      </c>
      <c r="D8" s="39" t="s">
        <v>2</v>
      </c>
      <c r="E8" s="37" t="s">
        <v>28</v>
      </c>
      <c r="F8" s="41" t="s">
        <v>14</v>
      </c>
      <c r="G8" s="44" t="s">
        <v>29</v>
      </c>
      <c r="H8" s="41" t="s">
        <v>9</v>
      </c>
      <c r="I8" s="42" t="s">
        <v>13</v>
      </c>
      <c r="J8" s="42" t="s">
        <v>23</v>
      </c>
      <c r="K8" s="43" t="s">
        <v>11</v>
      </c>
    </row>
    <row r="9" spans="1:11" ht="38.700000000000003" x14ac:dyDescent="0.6">
      <c r="A9" s="29" t="s">
        <v>78</v>
      </c>
      <c r="B9" s="29" t="s">
        <v>77</v>
      </c>
      <c r="C9" s="53">
        <v>150.7980677290837</v>
      </c>
      <c r="D9" s="54">
        <v>908407.56</v>
      </c>
      <c r="E9" s="55">
        <v>75700.63</v>
      </c>
      <c r="F9" s="56">
        <v>6024</v>
      </c>
      <c r="G9" s="56">
        <v>502</v>
      </c>
      <c r="H9" s="56">
        <v>70</v>
      </c>
      <c r="I9" s="57">
        <v>4.7</v>
      </c>
      <c r="J9" s="57" t="s">
        <v>79</v>
      </c>
      <c r="K9" s="68" t="str">
        <f>HYPERLINK(J9)</f>
        <v>https://amazon.com/dp/B0D59Y7B2D</v>
      </c>
    </row>
    <row r="10" spans="1:11" ht="38.700000000000003" x14ac:dyDescent="0.6">
      <c r="A10" s="29" t="s">
        <v>93</v>
      </c>
      <c r="B10" s="29" t="s">
        <v>92</v>
      </c>
      <c r="C10" s="53">
        <v>129.83584951456311</v>
      </c>
      <c r="D10" s="54">
        <v>641908.44000000006</v>
      </c>
      <c r="E10" s="55">
        <v>53492.37</v>
      </c>
      <c r="F10" s="56">
        <v>4944</v>
      </c>
      <c r="G10" s="56">
        <v>412</v>
      </c>
      <c r="H10" s="56">
        <v>227</v>
      </c>
      <c r="I10" s="57">
        <v>4.7</v>
      </c>
      <c r="J10" s="57" t="s">
        <v>94</v>
      </c>
      <c r="K10" s="68" t="str">
        <f t="shared" ref="K10" si="0">HYPERLINK(J10)</f>
        <v>https://amazon.com/dp/B0D3XDGN6M</v>
      </c>
    </row>
    <row r="11" spans="1:11" x14ac:dyDescent="0.6">
      <c r="A11" s="32" t="s">
        <v>5</v>
      </c>
      <c r="B11" s="32"/>
      <c r="C11" s="69"/>
      <c r="D11" s="70">
        <f>SUM(D9:D10)</f>
        <v>1550316</v>
      </c>
      <c r="E11" s="70">
        <f>SUM(E9:E10)</f>
        <v>129193</v>
      </c>
      <c r="F11" s="71"/>
      <c r="G11" s="71"/>
      <c r="H11" s="71"/>
      <c r="I11" s="72"/>
      <c r="J11" s="32"/>
      <c r="K11" s="31"/>
    </row>
    <row r="14" spans="1:11" x14ac:dyDescent="0.6">
      <c r="A14" s="107" t="s">
        <v>18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</row>
    <row r="15" spans="1:11" x14ac:dyDescent="0.6">
      <c r="A15" s="36" t="s">
        <v>7</v>
      </c>
      <c r="B15" s="37" t="s">
        <v>6</v>
      </c>
      <c r="C15" s="38" t="s">
        <v>12</v>
      </c>
      <c r="D15" s="39" t="s">
        <v>2</v>
      </c>
      <c r="E15" s="37" t="s">
        <v>28</v>
      </c>
      <c r="F15" s="41" t="s">
        <v>14</v>
      </c>
      <c r="G15" s="44" t="s">
        <v>29</v>
      </c>
      <c r="H15" s="41" t="s">
        <v>9</v>
      </c>
      <c r="I15" s="42" t="s">
        <v>13</v>
      </c>
      <c r="J15" s="42" t="s">
        <v>23</v>
      </c>
      <c r="K15" s="43" t="s">
        <v>11</v>
      </c>
    </row>
    <row r="16" spans="1:11" ht="38.700000000000003" x14ac:dyDescent="0.6">
      <c r="A16" s="29" t="s">
        <v>78</v>
      </c>
      <c r="B16" s="29" t="s">
        <v>77</v>
      </c>
      <c r="C16" s="53">
        <v>150.7980677290837</v>
      </c>
      <c r="D16" s="54">
        <v>908407.56</v>
      </c>
      <c r="E16" s="54">
        <v>75700.63</v>
      </c>
      <c r="F16" s="56">
        <v>6024</v>
      </c>
      <c r="G16" s="58">
        <v>502</v>
      </c>
      <c r="H16" s="56">
        <v>70</v>
      </c>
      <c r="I16" s="57">
        <v>4.7</v>
      </c>
      <c r="J16" s="57" t="s">
        <v>79</v>
      </c>
      <c r="K16" s="68" t="str">
        <f>HYPERLINK(J16)</f>
        <v>https://amazon.com/dp/B0D59Y7B2D</v>
      </c>
    </row>
    <row r="17" spans="1:11" ht="38.700000000000003" x14ac:dyDescent="0.6">
      <c r="A17" s="29" t="s">
        <v>93</v>
      </c>
      <c r="B17" s="29" t="s">
        <v>92</v>
      </c>
      <c r="C17" s="53">
        <v>129.83584951456311</v>
      </c>
      <c r="D17" s="54">
        <v>641908.44000000006</v>
      </c>
      <c r="E17" s="54">
        <v>53492.37</v>
      </c>
      <c r="F17" s="56">
        <v>4944</v>
      </c>
      <c r="G17" s="58">
        <v>412</v>
      </c>
      <c r="H17" s="56">
        <v>227</v>
      </c>
      <c r="I17" s="57">
        <v>4.7</v>
      </c>
      <c r="J17" s="57" t="s">
        <v>94</v>
      </c>
      <c r="K17" s="68" t="str">
        <f>HYPERLINK(J17)</f>
        <v>https://amazon.com/dp/B0D3XDGN6M</v>
      </c>
    </row>
    <row r="18" spans="1:11" x14ac:dyDescent="0.6">
      <c r="A18" s="32" t="s">
        <v>5</v>
      </c>
      <c r="B18" s="32"/>
      <c r="C18" s="70"/>
      <c r="D18" s="70"/>
      <c r="E18" s="70"/>
      <c r="F18" s="71">
        <f>SUM(Hijoy!F16:F17)</f>
        <v>10968</v>
      </c>
      <c r="G18" s="71">
        <f>SUM(Hijoy!G16:G17)</f>
        <v>914</v>
      </c>
      <c r="H18" s="71"/>
      <c r="I18" s="72"/>
      <c r="J18" s="32"/>
      <c r="K18" s="31"/>
    </row>
  </sheetData>
  <mergeCells count="3">
    <mergeCell ref="A1:K5"/>
    <mergeCell ref="A7:K7"/>
    <mergeCell ref="A14:K14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4475C-808A-485A-87A8-40BEB1141B71}">
  <sheetPr codeName="Sheet20"/>
  <dimension ref="A1:K9"/>
  <sheetViews>
    <sheetView workbookViewId="0">
      <selection sqref="A1:K5"/>
    </sheetView>
  </sheetViews>
  <sheetFormatPr defaultColWidth="12.59765625" defaultRowHeight="15.6" x14ac:dyDescent="0.6"/>
  <cols>
    <col min="1" max="1" width="50.59765625" style="30" customWidth="1"/>
    <col min="2" max="2" width="12.59765625" style="30" customWidth="1"/>
    <col min="3" max="3" width="10.84765625" style="52" bestFit="1" customWidth="1"/>
    <col min="4" max="4" width="24.84765625" style="52" bestFit="1" customWidth="1"/>
    <col min="5" max="5" width="17.75" style="60" bestFit="1" customWidth="1"/>
    <col min="6" max="6" width="21.75" style="60" bestFit="1" customWidth="1"/>
    <col min="7" max="7" width="19.09765625" style="60" bestFit="1" customWidth="1"/>
    <col min="8" max="8" width="13.5" style="35" bestFit="1" customWidth="1"/>
    <col min="9" max="9" width="12.59765625" style="30" bestFit="1" customWidth="1"/>
    <col min="10" max="10" width="35.59765625" style="30" hidden="1" customWidth="1"/>
    <col min="11" max="11" width="35.59765625" style="30" customWidth="1"/>
    <col min="12" max="16384" width="12.59765625" style="30"/>
  </cols>
  <sheetData>
    <row r="1" spans="1:11" x14ac:dyDescent="0.6">
      <c r="A1" s="110" t="e" vm="5">
        <v>#VALUE!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</row>
    <row r="2" spans="1:11" x14ac:dyDescent="0.6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x14ac:dyDescent="0.6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</row>
    <row r="4" spans="1:11" x14ac:dyDescent="0.6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</row>
    <row r="5" spans="1:11" x14ac:dyDescent="0.6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</row>
    <row r="6" spans="1:11" x14ac:dyDescent="0.6">
      <c r="B6" s="49"/>
      <c r="D6" s="49"/>
      <c r="E6" s="50"/>
      <c r="F6" s="50"/>
      <c r="G6" s="50"/>
      <c r="H6" s="51"/>
      <c r="I6" s="49"/>
    </row>
    <row r="7" spans="1:11" x14ac:dyDescent="0.6">
      <c r="A7" s="107" t="s">
        <v>15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</row>
    <row r="8" spans="1:11" x14ac:dyDescent="0.6">
      <c r="A8" s="36" t="s">
        <v>7</v>
      </c>
      <c r="B8" s="37" t="s">
        <v>6</v>
      </c>
      <c r="C8" s="38" t="s">
        <v>12</v>
      </c>
      <c r="D8" s="39" t="s">
        <v>2</v>
      </c>
      <c r="E8" s="37" t="s">
        <v>28</v>
      </c>
      <c r="F8" s="41" t="s">
        <v>14</v>
      </c>
      <c r="G8" s="44" t="s">
        <v>29</v>
      </c>
      <c r="H8" s="41" t="s">
        <v>9</v>
      </c>
      <c r="I8" s="42" t="s">
        <v>13</v>
      </c>
      <c r="J8" s="42" t="s">
        <v>23</v>
      </c>
      <c r="K8" s="43" t="s">
        <v>11</v>
      </c>
    </row>
    <row r="9" spans="1:11" ht="38.700000000000003" x14ac:dyDescent="0.6">
      <c r="A9" s="29" t="s">
        <v>66</v>
      </c>
      <c r="B9" s="29" t="s">
        <v>65</v>
      </c>
      <c r="C9" s="53">
        <v>119.987869047619</v>
      </c>
      <c r="D9" s="54">
        <v>1209477.72</v>
      </c>
      <c r="E9" s="54">
        <v>100789.81</v>
      </c>
      <c r="F9" s="56">
        <v>10080</v>
      </c>
      <c r="G9" s="56">
        <v>840</v>
      </c>
      <c r="H9" s="56">
        <v>152</v>
      </c>
      <c r="I9" s="57">
        <v>4.3</v>
      </c>
      <c r="J9" s="57" t="s">
        <v>67</v>
      </c>
      <c r="K9" s="68" t="str">
        <f t="shared" ref="K9" si="0">HYPERLINK(J9)</f>
        <v>https://amazon.com/dp/B0D9M3Q7FK</v>
      </c>
    </row>
  </sheetData>
  <sortState xmlns:xlrd2="http://schemas.microsoft.com/office/spreadsheetml/2017/richdata2" ref="A9:K9">
    <sortCondition descending="1" ref="E9"/>
  </sortState>
  <mergeCells count="2">
    <mergeCell ref="A7:K7"/>
    <mergeCell ref="A1:K5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A8B25-22B6-4514-BF27-278B540B9960}">
  <dimension ref="A1:K24"/>
  <sheetViews>
    <sheetView workbookViewId="0">
      <selection activeCell="K13" sqref="K13"/>
    </sheetView>
  </sheetViews>
  <sheetFormatPr defaultColWidth="12.59765625" defaultRowHeight="15.6" x14ac:dyDescent="0.6"/>
  <cols>
    <col min="1" max="1" width="50.59765625" style="30" customWidth="1"/>
    <col min="2" max="2" width="12.59765625" style="30" customWidth="1"/>
    <col min="3" max="3" width="10.84765625" style="52" bestFit="1" customWidth="1"/>
    <col min="4" max="4" width="24.84765625" style="30" bestFit="1" customWidth="1"/>
    <col min="5" max="5" width="17.75" style="60" bestFit="1" customWidth="1"/>
    <col min="6" max="6" width="21.75" style="60" bestFit="1" customWidth="1"/>
    <col min="7" max="7" width="19.09765625" style="60" bestFit="1" customWidth="1"/>
    <col min="8" max="8" width="13.5" style="35" bestFit="1" customWidth="1"/>
    <col min="9" max="9" width="12.59765625" style="30" bestFit="1" customWidth="1"/>
    <col min="10" max="10" width="35.59765625" style="30" hidden="1" customWidth="1"/>
    <col min="11" max="11" width="35.59765625" style="30" customWidth="1"/>
    <col min="12" max="16384" width="12.59765625" style="30"/>
  </cols>
  <sheetData>
    <row r="1" spans="1:11" x14ac:dyDescent="0.6">
      <c r="A1" s="108" t="e" vm="6">
        <v>#VALUE!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1" x14ac:dyDescent="0.6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x14ac:dyDescent="0.6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1" x14ac:dyDescent="0.6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</row>
    <row r="5" spans="1:11" x14ac:dyDescent="0.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x14ac:dyDescent="0.6">
      <c r="A6" s="28"/>
      <c r="B6" s="28"/>
      <c r="C6" s="45"/>
      <c r="D6" s="46"/>
      <c r="E6" s="46"/>
      <c r="F6" s="46"/>
      <c r="G6" s="46"/>
      <c r="H6" s="47"/>
      <c r="I6" s="48"/>
    </row>
    <row r="7" spans="1:11" x14ac:dyDescent="0.6">
      <c r="A7" s="107" t="s">
        <v>15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</row>
    <row r="8" spans="1:11" x14ac:dyDescent="0.6">
      <c r="A8" s="36" t="s">
        <v>7</v>
      </c>
      <c r="B8" s="37" t="s">
        <v>6</v>
      </c>
      <c r="C8" s="38" t="s">
        <v>12</v>
      </c>
      <c r="D8" s="39" t="s">
        <v>2</v>
      </c>
      <c r="E8" s="37" t="s">
        <v>28</v>
      </c>
      <c r="F8" s="41" t="s">
        <v>14</v>
      </c>
      <c r="G8" s="44" t="s">
        <v>29</v>
      </c>
      <c r="H8" s="41" t="s">
        <v>9</v>
      </c>
      <c r="I8" s="42" t="s">
        <v>13</v>
      </c>
      <c r="J8" s="42" t="s">
        <v>23</v>
      </c>
      <c r="K8" s="43" t="s">
        <v>11</v>
      </c>
    </row>
    <row r="9" spans="1:11" ht="38.700000000000003" x14ac:dyDescent="0.6">
      <c r="A9" s="29" t="s">
        <v>240</v>
      </c>
      <c r="B9" s="29" t="s">
        <v>239</v>
      </c>
      <c r="C9" s="53">
        <v>25.99</v>
      </c>
      <c r="D9" s="54">
        <v>1403460</v>
      </c>
      <c r="E9" s="55">
        <v>116955</v>
      </c>
      <c r="F9" s="56">
        <v>54000</v>
      </c>
      <c r="G9" s="56">
        <v>4500</v>
      </c>
      <c r="H9" s="56">
        <v>1548</v>
      </c>
      <c r="I9" s="57">
        <v>4.3</v>
      </c>
      <c r="J9" s="57" t="s">
        <v>241</v>
      </c>
      <c r="K9" s="68" t="str">
        <f t="shared" ref="K9:K12" si="0">HYPERLINK(J9)</f>
        <v>https://amazon.com/dp/B0C4V5LWWL</v>
      </c>
    </row>
    <row r="10" spans="1:11" ht="38.700000000000003" x14ac:dyDescent="0.6">
      <c r="A10" s="29" t="s">
        <v>243</v>
      </c>
      <c r="B10" s="29" t="s">
        <v>242</v>
      </c>
      <c r="C10" s="53">
        <v>35.99</v>
      </c>
      <c r="D10" s="54">
        <v>647820</v>
      </c>
      <c r="E10" s="55">
        <v>53985</v>
      </c>
      <c r="F10" s="56">
        <v>18000</v>
      </c>
      <c r="G10" s="56">
        <v>1500</v>
      </c>
      <c r="H10" s="56">
        <v>4574</v>
      </c>
      <c r="I10" s="57">
        <v>4.3</v>
      </c>
      <c r="J10" s="57" t="s">
        <v>244</v>
      </c>
      <c r="K10" s="68" t="str">
        <f t="shared" si="0"/>
        <v>https://amazon.com/dp/B0C9JR3N4W</v>
      </c>
    </row>
    <row r="11" spans="1:11" ht="38.700000000000003" x14ac:dyDescent="0.6">
      <c r="A11" s="29" t="s">
        <v>320</v>
      </c>
      <c r="B11" s="29" t="s">
        <v>321</v>
      </c>
      <c r="C11" s="53">
        <v>35.99</v>
      </c>
      <c r="D11" s="54">
        <v>64782</v>
      </c>
      <c r="E11" s="55">
        <v>5398.5</v>
      </c>
      <c r="F11" s="56">
        <v>1800</v>
      </c>
      <c r="G11" s="56">
        <v>150</v>
      </c>
      <c r="H11" s="56">
        <v>321</v>
      </c>
      <c r="I11" s="57">
        <v>4.7</v>
      </c>
      <c r="J11" s="57" t="s">
        <v>322</v>
      </c>
      <c r="K11" s="68" t="str">
        <f t="shared" si="0"/>
        <v>https://amazon.com/dp/B0BF64PP4F</v>
      </c>
    </row>
    <row r="12" spans="1:11" ht="38.700000000000003" x14ac:dyDescent="0.6">
      <c r="A12" s="29" t="s">
        <v>323</v>
      </c>
      <c r="B12" s="29" t="s">
        <v>324</v>
      </c>
      <c r="C12" s="53">
        <v>35.99</v>
      </c>
      <c r="D12" s="54">
        <v>0</v>
      </c>
      <c r="E12" s="55">
        <v>0</v>
      </c>
      <c r="F12" s="56">
        <v>0</v>
      </c>
      <c r="G12" s="56">
        <v>0</v>
      </c>
      <c r="H12" s="56">
        <v>4578</v>
      </c>
      <c r="I12" s="57">
        <v>4.3</v>
      </c>
      <c r="J12" s="57" t="s">
        <v>325</v>
      </c>
      <c r="K12" s="68" t="str">
        <f t="shared" si="0"/>
        <v>https://amazon.com/dp/B0C4V4FJC8</v>
      </c>
    </row>
    <row r="13" spans="1:11" ht="38.700000000000003" x14ac:dyDescent="0.6">
      <c r="A13" s="29" t="s">
        <v>326</v>
      </c>
      <c r="B13" s="29" t="s">
        <v>327</v>
      </c>
      <c r="C13" s="53">
        <v>79.989999999999995</v>
      </c>
      <c r="D13" s="54">
        <v>0</v>
      </c>
      <c r="E13" s="55">
        <v>0</v>
      </c>
      <c r="F13" s="56">
        <v>0</v>
      </c>
      <c r="G13" s="56">
        <v>0</v>
      </c>
      <c r="H13" s="56">
        <v>578</v>
      </c>
      <c r="I13" s="57">
        <v>4.5</v>
      </c>
      <c r="J13" s="57" t="s">
        <v>328</v>
      </c>
      <c r="K13" s="68" t="str">
        <f>HYPERLINK(J13)</f>
        <v>https://amazon.com/dp/B0CBCBSYDG</v>
      </c>
    </row>
    <row r="14" spans="1:11" x14ac:dyDescent="0.6">
      <c r="A14" s="32" t="s">
        <v>5</v>
      </c>
      <c r="B14" s="32"/>
      <c r="C14" s="69"/>
      <c r="D14" s="70">
        <f>SUM(D9:D13)</f>
        <v>2116062</v>
      </c>
      <c r="E14" s="70">
        <f>SUM(E9:E13)</f>
        <v>176338.5</v>
      </c>
      <c r="F14" s="71"/>
      <c r="G14" s="71"/>
      <c r="H14" s="71"/>
      <c r="I14" s="72"/>
      <c r="J14" s="32"/>
    </row>
    <row r="15" spans="1:11" x14ac:dyDescent="0.6">
      <c r="A15" s="29"/>
      <c r="B15" s="29"/>
      <c r="C15" s="54"/>
      <c r="D15" s="54"/>
      <c r="E15" s="56"/>
      <c r="F15" s="56"/>
      <c r="G15" s="56"/>
      <c r="H15" s="57"/>
      <c r="I15" s="29"/>
    </row>
    <row r="16" spans="1:11" x14ac:dyDescent="0.6">
      <c r="A16" s="29"/>
      <c r="B16" s="29"/>
      <c r="C16" s="54"/>
      <c r="D16" s="54"/>
      <c r="E16" s="56"/>
      <c r="F16" s="56"/>
      <c r="G16" s="56"/>
      <c r="H16" s="57"/>
      <c r="I16" s="29"/>
    </row>
    <row r="17" spans="1:11" x14ac:dyDescent="0.6">
      <c r="A17" s="107" t="s">
        <v>18</v>
      </c>
      <c r="B17" s="107"/>
      <c r="C17" s="107"/>
      <c r="D17" s="107"/>
      <c r="E17" s="107"/>
      <c r="F17" s="107"/>
      <c r="G17" s="107"/>
      <c r="H17" s="107"/>
      <c r="I17" s="107"/>
      <c r="J17" s="107"/>
      <c r="K17" s="107"/>
    </row>
    <row r="18" spans="1:11" x14ac:dyDescent="0.6">
      <c r="A18" s="36" t="s">
        <v>7</v>
      </c>
      <c r="B18" s="37" t="s">
        <v>6</v>
      </c>
      <c r="C18" s="38" t="s">
        <v>12</v>
      </c>
      <c r="D18" s="39" t="s">
        <v>2</v>
      </c>
      <c r="E18" s="37" t="s">
        <v>28</v>
      </c>
      <c r="F18" s="41" t="s">
        <v>14</v>
      </c>
      <c r="G18" s="44" t="s">
        <v>29</v>
      </c>
      <c r="H18" s="41" t="s">
        <v>9</v>
      </c>
      <c r="I18" s="42" t="s">
        <v>13</v>
      </c>
      <c r="J18" s="42" t="s">
        <v>23</v>
      </c>
      <c r="K18" s="43" t="s">
        <v>11</v>
      </c>
    </row>
    <row r="19" spans="1:11" ht="38.700000000000003" x14ac:dyDescent="0.6">
      <c r="A19" s="29" t="s">
        <v>240</v>
      </c>
      <c r="B19" s="29" t="s">
        <v>239</v>
      </c>
      <c r="C19" s="53">
        <v>25.99</v>
      </c>
      <c r="D19" s="54">
        <v>1403460</v>
      </c>
      <c r="E19" s="54">
        <v>116955</v>
      </c>
      <c r="F19" s="56">
        <v>54000</v>
      </c>
      <c r="G19" s="58">
        <v>4500</v>
      </c>
      <c r="H19" s="56">
        <v>1548</v>
      </c>
      <c r="I19" s="57">
        <v>4.3</v>
      </c>
      <c r="J19" s="57" t="s">
        <v>241</v>
      </c>
      <c r="K19" s="33" t="str">
        <f>HYPERLINK(J19)</f>
        <v>https://amazon.com/dp/B0C4V5LWWL</v>
      </c>
    </row>
    <row r="20" spans="1:11" ht="38.700000000000003" x14ac:dyDescent="0.6">
      <c r="A20" s="29" t="s">
        <v>243</v>
      </c>
      <c r="B20" s="29" t="s">
        <v>242</v>
      </c>
      <c r="C20" s="53">
        <v>35.99</v>
      </c>
      <c r="D20" s="54">
        <v>647820</v>
      </c>
      <c r="E20" s="54">
        <v>53985</v>
      </c>
      <c r="F20" s="56">
        <v>18000</v>
      </c>
      <c r="G20" s="58">
        <v>1500</v>
      </c>
      <c r="H20" s="56">
        <v>4574</v>
      </c>
      <c r="I20" s="57">
        <v>4.3</v>
      </c>
      <c r="J20" s="57" t="s">
        <v>244</v>
      </c>
      <c r="K20" s="33" t="str">
        <f t="shared" ref="K20" si="1">HYPERLINK(J20)</f>
        <v>https://amazon.com/dp/B0C9JR3N4W</v>
      </c>
    </row>
    <row r="21" spans="1:11" ht="38.700000000000003" x14ac:dyDescent="0.6">
      <c r="A21" s="29" t="s">
        <v>320</v>
      </c>
      <c r="B21" s="29" t="s">
        <v>321</v>
      </c>
      <c r="C21" s="53">
        <v>35.99</v>
      </c>
      <c r="D21" s="54">
        <v>64782</v>
      </c>
      <c r="E21" s="54">
        <v>5398.5</v>
      </c>
      <c r="F21" s="56">
        <v>1800</v>
      </c>
      <c r="G21" s="58">
        <v>150</v>
      </c>
      <c r="H21" s="56">
        <v>321</v>
      </c>
      <c r="I21" s="57">
        <v>4.7</v>
      </c>
      <c r="J21" s="57" t="s">
        <v>322</v>
      </c>
      <c r="K21" s="33" t="str">
        <f>HYPERLINK(J21)</f>
        <v>https://amazon.com/dp/B0BF64PP4F</v>
      </c>
    </row>
    <row r="22" spans="1:11" ht="38.700000000000003" x14ac:dyDescent="0.6">
      <c r="A22" s="29" t="s">
        <v>323</v>
      </c>
      <c r="B22" s="29" t="s">
        <v>324</v>
      </c>
      <c r="C22" s="53">
        <v>35.99</v>
      </c>
      <c r="D22" s="54">
        <v>0</v>
      </c>
      <c r="E22" s="54">
        <v>0</v>
      </c>
      <c r="F22" s="56">
        <v>0</v>
      </c>
      <c r="G22" s="58">
        <v>0</v>
      </c>
      <c r="H22" s="56">
        <v>4578</v>
      </c>
      <c r="I22" s="57">
        <v>4.3</v>
      </c>
      <c r="J22" s="57" t="s">
        <v>325</v>
      </c>
      <c r="K22" s="33" t="str">
        <f>HYPERLINK(J22)</f>
        <v>https://amazon.com/dp/B0C4V4FJC8</v>
      </c>
    </row>
    <row r="23" spans="1:11" ht="38.700000000000003" x14ac:dyDescent="0.6">
      <c r="A23" s="29" t="s">
        <v>326</v>
      </c>
      <c r="B23" s="29" t="s">
        <v>327</v>
      </c>
      <c r="C23" s="53">
        <v>79.989999999999995</v>
      </c>
      <c r="D23" s="54">
        <v>0</v>
      </c>
      <c r="E23" s="54">
        <v>0</v>
      </c>
      <c r="F23" s="56">
        <v>0</v>
      </c>
      <c r="G23" s="58">
        <v>0</v>
      </c>
      <c r="H23" s="56">
        <v>578</v>
      </c>
      <c r="I23" s="57">
        <v>4.5</v>
      </c>
      <c r="J23" s="57" t="s">
        <v>328</v>
      </c>
      <c r="K23" s="33" t="str">
        <f>HYPERLINK(J23)</f>
        <v>https://amazon.com/dp/B0CBCBSYDG</v>
      </c>
    </row>
    <row r="24" spans="1:11" x14ac:dyDescent="0.6">
      <c r="A24" s="32" t="s">
        <v>5</v>
      </c>
      <c r="B24" s="32"/>
      <c r="C24" s="70"/>
      <c r="D24" s="70"/>
      <c r="E24" s="70"/>
      <c r="F24" s="71">
        <f>SUM(Table431618[Estimated 12mo Units])</f>
        <v>73800</v>
      </c>
      <c r="G24" s="71">
        <f>SUM(Table431618[Monthly Units])</f>
        <v>6150</v>
      </c>
      <c r="H24" s="71"/>
      <c r="I24" s="72"/>
      <c r="J24" s="32"/>
    </row>
  </sheetData>
  <mergeCells count="3">
    <mergeCell ref="A1:K5"/>
    <mergeCell ref="A7:K7"/>
    <mergeCell ref="A17:K17"/>
  </mergeCells>
  <hyperlinks>
    <hyperlink ref="K19" r:id="rId1" display="https://amazon.com/dp/B07S7H86Z1" xr:uid="{65FFA087-492B-416B-A331-41A1790E1C9E}"/>
    <hyperlink ref="K20" r:id="rId2" display="https://amazon.com/dp/B07S7H86Z1" xr:uid="{B9C121D8-E5CF-4E76-9682-43FC40AFC3E9}"/>
  </hyperlinks>
  <pageMargins left="0.7" right="0.7" top="0.75" bottom="0.75" header="0.3" footer="0.3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C750D-95D4-7D45-BCDA-8066485CAA5C}">
  <sheetPr codeName="Sheet5"/>
  <dimension ref="A1:K26"/>
  <sheetViews>
    <sheetView workbookViewId="0">
      <selection activeCell="J12" sqref="J12"/>
    </sheetView>
  </sheetViews>
  <sheetFormatPr defaultColWidth="11.09765625" defaultRowHeight="15.6" x14ac:dyDescent="0.6"/>
  <cols>
    <col min="1" max="1" width="50.59765625" style="30" customWidth="1"/>
    <col min="2" max="2" width="12.59765625" style="30" customWidth="1"/>
    <col min="3" max="3" width="10.84765625" style="30" bestFit="1" customWidth="1"/>
    <col min="4" max="4" width="24.84765625" style="30" bestFit="1" customWidth="1"/>
    <col min="5" max="5" width="17.75" style="60" bestFit="1" customWidth="1"/>
    <col min="6" max="6" width="21.75" style="60" bestFit="1" customWidth="1"/>
    <col min="7" max="7" width="19.09765625" style="60" bestFit="1" customWidth="1"/>
    <col min="8" max="8" width="13.5" style="35" bestFit="1" customWidth="1"/>
    <col min="9" max="9" width="12.59765625" style="30" bestFit="1" customWidth="1"/>
    <col min="10" max="11" width="35.59765625" style="30" customWidth="1"/>
    <col min="12" max="12" width="12.59765625" style="30" customWidth="1"/>
    <col min="13" max="16384" width="11.09765625" style="30"/>
  </cols>
  <sheetData>
    <row r="1" spans="1:11" ht="15.75" customHeight="1" x14ac:dyDescent="0.6">
      <c r="A1" s="110" t="e" vm="7">
        <v>#VALUE!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</row>
    <row r="2" spans="1:11" ht="15.75" customHeight="1" x14ac:dyDescent="0.6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ht="15.75" customHeight="1" x14ac:dyDescent="0.6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</row>
    <row r="4" spans="1:11" ht="15.75" customHeight="1" x14ac:dyDescent="0.6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</row>
    <row r="5" spans="1:11" ht="15.75" customHeight="1" x14ac:dyDescent="0.6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</row>
    <row r="6" spans="1:11" x14ac:dyDescent="0.6">
      <c r="A6" s="28"/>
      <c r="B6" s="28"/>
      <c r="C6" s="45"/>
      <c r="D6" s="46"/>
      <c r="E6" s="46"/>
      <c r="F6" s="46"/>
      <c r="G6" s="46"/>
      <c r="H6" s="47"/>
      <c r="I6" s="48"/>
    </row>
    <row r="7" spans="1:11" x14ac:dyDescent="0.6">
      <c r="A7" s="107" t="s">
        <v>15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</row>
    <row r="8" spans="1:11" x14ac:dyDescent="0.6">
      <c r="A8" s="36" t="s">
        <v>7</v>
      </c>
      <c r="B8" s="37" t="s">
        <v>6</v>
      </c>
      <c r="C8" s="38" t="s">
        <v>12</v>
      </c>
      <c r="D8" s="39" t="s">
        <v>2</v>
      </c>
      <c r="E8" s="40" t="s">
        <v>28</v>
      </c>
      <c r="F8" s="41" t="s">
        <v>14</v>
      </c>
      <c r="G8" s="41" t="s">
        <v>29</v>
      </c>
      <c r="H8" s="41" t="s">
        <v>9</v>
      </c>
      <c r="I8" s="42" t="s">
        <v>13</v>
      </c>
      <c r="J8" s="42" t="s">
        <v>23</v>
      </c>
      <c r="K8" s="43" t="s">
        <v>11</v>
      </c>
    </row>
    <row r="9" spans="1:11" ht="38.700000000000003" x14ac:dyDescent="0.6">
      <c r="A9" s="29" t="s">
        <v>60</v>
      </c>
      <c r="B9" s="29" t="s">
        <v>59</v>
      </c>
      <c r="C9" s="53">
        <v>41.444117459304181</v>
      </c>
      <c r="D9" s="54">
        <v>1558133.04</v>
      </c>
      <c r="E9" s="55">
        <v>129844.42</v>
      </c>
      <c r="F9" s="56">
        <v>37596</v>
      </c>
      <c r="G9" s="56">
        <v>3133</v>
      </c>
      <c r="H9" s="56">
        <v>989</v>
      </c>
      <c r="I9" s="57">
        <v>4.5999999999999996</v>
      </c>
      <c r="J9" s="104" t="s">
        <v>61</v>
      </c>
      <c r="K9" s="33" t="str">
        <f>HYPERLINK(J9)</f>
        <v>https://amazon.com/dp/B0CFF8Z1NF</v>
      </c>
    </row>
    <row r="10" spans="1:11" ht="38.700000000000003" x14ac:dyDescent="0.6">
      <c r="A10" s="29" t="s">
        <v>105</v>
      </c>
      <c r="B10" s="29" t="s">
        <v>104</v>
      </c>
      <c r="C10" s="53">
        <v>36.379925037481257</v>
      </c>
      <c r="D10" s="54">
        <v>582369.84</v>
      </c>
      <c r="E10" s="55">
        <v>48530.82</v>
      </c>
      <c r="F10" s="56">
        <v>16008</v>
      </c>
      <c r="G10" s="56">
        <v>1334</v>
      </c>
      <c r="H10" s="56">
        <v>989</v>
      </c>
      <c r="I10" s="57">
        <v>4.5999999999999996</v>
      </c>
      <c r="J10" s="104" t="s">
        <v>106</v>
      </c>
      <c r="K10" s="33" t="str">
        <f t="shared" ref="K10:K14" si="0">HYPERLINK(J10)</f>
        <v>https://amazon.com/dp/B0CXHYT8H8</v>
      </c>
    </row>
    <row r="11" spans="1:11" ht="38.700000000000003" x14ac:dyDescent="0.6">
      <c r="A11" s="29" t="s">
        <v>236</v>
      </c>
      <c r="B11" s="29" t="s">
        <v>235</v>
      </c>
      <c r="C11" s="53">
        <v>28.584173228346451</v>
      </c>
      <c r="D11" s="54">
        <v>130686.84</v>
      </c>
      <c r="E11" s="55">
        <v>10890.57</v>
      </c>
      <c r="F11" s="56">
        <v>4572</v>
      </c>
      <c r="G11" s="56">
        <v>381</v>
      </c>
      <c r="H11" s="56">
        <v>922</v>
      </c>
      <c r="I11" s="57">
        <v>4.4000000000000004</v>
      </c>
      <c r="J11" s="104" t="s">
        <v>237</v>
      </c>
      <c r="K11" s="33" t="str">
        <f t="shared" si="0"/>
        <v>https://amazon.com/dp/B0C4FBM6GV</v>
      </c>
    </row>
    <row r="12" spans="1:11" ht="38.700000000000003" x14ac:dyDescent="0.6">
      <c r="A12" s="29" t="s">
        <v>329</v>
      </c>
      <c r="B12" s="29" t="s">
        <v>330</v>
      </c>
      <c r="C12" s="53">
        <v>28.71555555555555</v>
      </c>
      <c r="D12" s="54">
        <v>3101.28</v>
      </c>
      <c r="E12" s="55">
        <v>258.44</v>
      </c>
      <c r="F12" s="56">
        <v>108</v>
      </c>
      <c r="G12" s="56">
        <v>9</v>
      </c>
      <c r="H12" s="56">
        <v>921</v>
      </c>
      <c r="I12" s="57">
        <v>4.3</v>
      </c>
      <c r="J12" s="104" t="s">
        <v>331</v>
      </c>
      <c r="K12" s="33" t="str">
        <f t="shared" si="0"/>
        <v>https://amazon.com/dp/B0C5M8SRQ8</v>
      </c>
    </row>
    <row r="13" spans="1:11" ht="25.8" x14ac:dyDescent="0.6">
      <c r="A13" s="29" t="s">
        <v>332</v>
      </c>
      <c r="B13" s="29" t="s">
        <v>333</v>
      </c>
      <c r="C13" s="53">
        <v>16.864000000000001</v>
      </c>
      <c r="D13" s="54">
        <v>2023.68</v>
      </c>
      <c r="E13" s="55">
        <v>168.64</v>
      </c>
      <c r="F13" s="56">
        <v>120</v>
      </c>
      <c r="G13" s="56">
        <v>10</v>
      </c>
      <c r="H13" s="56">
        <v>3</v>
      </c>
      <c r="I13" s="57">
        <v>3.1</v>
      </c>
      <c r="J13" s="57" t="s">
        <v>334</v>
      </c>
      <c r="K13" s="33" t="str">
        <f t="shared" si="0"/>
        <v>https://amazon.com/dp/B0D9D8TWZB</v>
      </c>
    </row>
    <row r="14" spans="1:11" ht="38.700000000000003" x14ac:dyDescent="0.6">
      <c r="A14" s="29" t="s">
        <v>335</v>
      </c>
      <c r="B14" s="29" t="s">
        <v>336</v>
      </c>
      <c r="C14" s="53">
        <v>29.99</v>
      </c>
      <c r="D14" s="54">
        <v>0</v>
      </c>
      <c r="E14" s="55">
        <v>0</v>
      </c>
      <c r="F14" s="56">
        <v>0</v>
      </c>
      <c r="G14" s="56">
        <v>0</v>
      </c>
      <c r="H14" s="56">
        <v>921</v>
      </c>
      <c r="I14" s="57">
        <v>4.3</v>
      </c>
      <c r="J14" s="57" t="s">
        <v>337</v>
      </c>
      <c r="K14" s="33" t="str">
        <f t="shared" si="0"/>
        <v>https://amazon.com/dp/B0C5M7ZH65</v>
      </c>
    </row>
    <row r="15" spans="1:11" x14ac:dyDescent="0.6">
      <c r="A15" s="32" t="s">
        <v>5</v>
      </c>
      <c r="B15" s="31"/>
      <c r="C15" s="31"/>
      <c r="D15" s="59">
        <f>SUM(D9:D14)</f>
        <v>2276314.6799999997</v>
      </c>
      <c r="E15" s="59">
        <f>SUM(E9:E14)</f>
        <v>189692.89</v>
      </c>
      <c r="H15" s="60"/>
      <c r="I15" s="35"/>
    </row>
    <row r="18" spans="1:11" x14ac:dyDescent="0.6">
      <c r="A18" s="107" t="s">
        <v>18</v>
      </c>
      <c r="B18" s="107"/>
      <c r="C18" s="107"/>
      <c r="D18" s="107"/>
      <c r="E18" s="107"/>
      <c r="F18" s="107"/>
      <c r="G18" s="107"/>
      <c r="H18" s="107"/>
      <c r="I18" s="107"/>
      <c r="J18" s="107"/>
      <c r="K18" s="107"/>
    </row>
    <row r="19" spans="1:11" x14ac:dyDescent="0.6">
      <c r="A19" s="36" t="s">
        <v>7</v>
      </c>
      <c r="B19" s="37" t="s">
        <v>6</v>
      </c>
      <c r="C19" s="38" t="s">
        <v>12</v>
      </c>
      <c r="D19" s="39" t="s">
        <v>2</v>
      </c>
      <c r="E19" s="37" t="s">
        <v>28</v>
      </c>
      <c r="F19" s="41" t="s">
        <v>14</v>
      </c>
      <c r="G19" s="44" t="s">
        <v>29</v>
      </c>
      <c r="H19" s="41" t="s">
        <v>9</v>
      </c>
      <c r="I19" s="42" t="s">
        <v>13</v>
      </c>
      <c r="J19" s="42" t="s">
        <v>23</v>
      </c>
      <c r="K19" s="43" t="s">
        <v>11</v>
      </c>
    </row>
    <row r="20" spans="1:11" ht="38.700000000000003" x14ac:dyDescent="0.6">
      <c r="A20" s="29" t="s">
        <v>60</v>
      </c>
      <c r="B20" s="29" t="s">
        <v>59</v>
      </c>
      <c r="C20" s="53">
        <v>41.444117459304181</v>
      </c>
      <c r="D20" s="54">
        <v>1558133.04</v>
      </c>
      <c r="E20" s="54">
        <v>129844.42</v>
      </c>
      <c r="F20" s="56">
        <v>37596</v>
      </c>
      <c r="G20" s="58">
        <v>3133</v>
      </c>
      <c r="H20" s="56">
        <v>989</v>
      </c>
      <c r="I20" s="57">
        <v>4.5999999999999996</v>
      </c>
      <c r="J20" s="57" t="s">
        <v>61</v>
      </c>
      <c r="K20" s="33" t="str">
        <f>HYPERLINK(J20)</f>
        <v>https://amazon.com/dp/B0CFF8Z1NF</v>
      </c>
    </row>
    <row r="21" spans="1:11" ht="38.700000000000003" x14ac:dyDescent="0.6">
      <c r="A21" s="29" t="s">
        <v>105</v>
      </c>
      <c r="B21" s="29" t="s">
        <v>104</v>
      </c>
      <c r="C21" s="53">
        <v>36.379925037481257</v>
      </c>
      <c r="D21" s="54">
        <v>582369.84</v>
      </c>
      <c r="E21" s="54">
        <v>48530.82</v>
      </c>
      <c r="F21" s="56">
        <v>16008</v>
      </c>
      <c r="G21" s="58">
        <v>1334</v>
      </c>
      <c r="H21" s="56">
        <v>989</v>
      </c>
      <c r="I21" s="57">
        <v>4.5999999999999996</v>
      </c>
      <c r="J21" s="57" t="s">
        <v>106</v>
      </c>
      <c r="K21" s="33" t="str">
        <f>HYPERLINK(J21)</f>
        <v>https://amazon.com/dp/B0CXHYT8H8</v>
      </c>
    </row>
    <row r="22" spans="1:11" ht="38.700000000000003" x14ac:dyDescent="0.6">
      <c r="A22" s="29" t="s">
        <v>236</v>
      </c>
      <c r="B22" s="29" t="s">
        <v>235</v>
      </c>
      <c r="C22" s="53">
        <v>28.584173228346451</v>
      </c>
      <c r="D22" s="54">
        <v>130686.84</v>
      </c>
      <c r="E22" s="54">
        <v>10890.57</v>
      </c>
      <c r="F22" s="56">
        <v>4572</v>
      </c>
      <c r="G22" s="58">
        <v>381</v>
      </c>
      <c r="H22" s="56">
        <v>922</v>
      </c>
      <c r="I22" s="57">
        <v>4.4000000000000004</v>
      </c>
      <c r="J22" s="57" t="s">
        <v>237</v>
      </c>
      <c r="K22" s="33" t="str">
        <f>HYPERLINK(J22)</f>
        <v>https://amazon.com/dp/B0C4FBM6GV</v>
      </c>
    </row>
    <row r="23" spans="1:11" ht="25.8" x14ac:dyDescent="0.6">
      <c r="A23" s="29" t="s">
        <v>332</v>
      </c>
      <c r="B23" s="29" t="s">
        <v>333</v>
      </c>
      <c r="C23" s="53">
        <v>16.864000000000001</v>
      </c>
      <c r="D23" s="54">
        <v>2023.68</v>
      </c>
      <c r="E23" s="54">
        <v>168.64</v>
      </c>
      <c r="F23" s="56">
        <v>120</v>
      </c>
      <c r="G23" s="58">
        <v>10</v>
      </c>
      <c r="H23" s="56">
        <v>3</v>
      </c>
      <c r="I23" s="57">
        <v>3.1</v>
      </c>
      <c r="J23" s="57" t="s">
        <v>334</v>
      </c>
      <c r="K23" s="33" t="str">
        <f t="shared" ref="K23:K25" si="1">HYPERLINK(J23)</f>
        <v>https://amazon.com/dp/B0D9D8TWZB</v>
      </c>
    </row>
    <row r="24" spans="1:11" ht="38.700000000000003" x14ac:dyDescent="0.6">
      <c r="A24" s="29" t="s">
        <v>329</v>
      </c>
      <c r="B24" s="29" t="s">
        <v>330</v>
      </c>
      <c r="C24" s="53">
        <v>28.71555555555555</v>
      </c>
      <c r="D24" s="54">
        <v>3101.28</v>
      </c>
      <c r="E24" s="54">
        <v>258.44</v>
      </c>
      <c r="F24" s="56">
        <v>108</v>
      </c>
      <c r="G24" s="58">
        <v>9</v>
      </c>
      <c r="H24" s="56">
        <v>921</v>
      </c>
      <c r="I24" s="57">
        <v>4.3</v>
      </c>
      <c r="J24" s="57" t="s">
        <v>331</v>
      </c>
      <c r="K24" s="33" t="str">
        <f t="shared" si="1"/>
        <v>https://amazon.com/dp/B0C5M8SRQ8</v>
      </c>
    </row>
    <row r="25" spans="1:11" ht="38.700000000000003" x14ac:dyDescent="0.6">
      <c r="A25" s="29" t="s">
        <v>335</v>
      </c>
      <c r="B25" s="29" t="s">
        <v>336</v>
      </c>
      <c r="C25" s="53">
        <v>29.99</v>
      </c>
      <c r="D25" s="54">
        <v>0</v>
      </c>
      <c r="E25" s="54">
        <v>0</v>
      </c>
      <c r="F25" s="56">
        <v>0</v>
      </c>
      <c r="G25" s="58">
        <v>0</v>
      </c>
      <c r="H25" s="56">
        <v>921</v>
      </c>
      <c r="I25" s="57">
        <v>4.3</v>
      </c>
      <c r="J25" s="57" t="s">
        <v>337</v>
      </c>
      <c r="K25" s="33" t="str">
        <f t="shared" si="1"/>
        <v>https://amazon.com/dp/B0C5M7ZH65</v>
      </c>
    </row>
    <row r="26" spans="1:11" x14ac:dyDescent="0.6">
      <c r="A26" s="32" t="s">
        <v>5</v>
      </c>
      <c r="B26" s="31"/>
      <c r="C26" s="31"/>
      <c r="D26" s="31"/>
      <c r="E26" s="31"/>
      <c r="F26" s="34">
        <f>SUM(MugEasy!F20:F25)</f>
        <v>58404</v>
      </c>
      <c r="G26" s="34">
        <f>SUM(MugEasy!G20:G25)</f>
        <v>4867</v>
      </c>
      <c r="H26" s="60"/>
      <c r="I26" s="35"/>
    </row>
  </sheetData>
  <sortState xmlns:xlrd2="http://schemas.microsoft.com/office/spreadsheetml/2017/richdata2" ref="A20:J21">
    <sortCondition ref="F20:F21"/>
  </sortState>
  <mergeCells count="3">
    <mergeCell ref="A7:K7"/>
    <mergeCell ref="A1:K5"/>
    <mergeCell ref="A18:K18"/>
  </mergeCells>
  <hyperlinks>
    <hyperlink ref="K9" r:id="rId1" display="https://amazon.com/dp/B07S7H86Z1" xr:uid="{470E4773-E0EA-4A90-8373-A1F3B3558E2B}"/>
    <hyperlink ref="K20" r:id="rId2" display="https://amazon.com/dp/B07S7H86Z1" xr:uid="{00F4B7D9-0047-4E8B-B805-C520E1AB584D}"/>
    <hyperlink ref="K21" r:id="rId3" display="https://amazon.com/dp/B07S7H86Z1" xr:uid="{B53D1CDA-0D31-4280-BC51-F09403D0EF48}"/>
    <hyperlink ref="K10:K14" r:id="rId4" display="https://amazon.com/dp/B07S7H86Z1" xr:uid="{CD85D58E-5121-4F0F-91C1-147D86B8888D}"/>
    <hyperlink ref="J9" r:id="rId5" xr:uid="{73947A20-74C8-47D5-B435-A6C1CBEB8558}"/>
    <hyperlink ref="J10" r:id="rId6" xr:uid="{5764A4E2-F1A5-431C-8486-7513BFBDF1B9}"/>
    <hyperlink ref="J11" r:id="rId7" xr:uid="{E8E5B2C0-C88B-4DE4-B99E-4ECF721025E1}"/>
    <hyperlink ref="J12" r:id="rId8" xr:uid="{C64BC613-DA86-49BA-9C92-73500D6B14AE}"/>
  </hyperlinks>
  <pageMargins left="0.7" right="0.7" top="0.75" bottom="0.75" header="0.3" footer="0.3"/>
  <tableParts count="2">
    <tablePart r:id="rId9"/>
    <tablePart r:id="rId10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1E91-8784-40E5-BD41-FAFC4A1B10B9}">
  <dimension ref="A1:K90"/>
  <sheetViews>
    <sheetView topLeftCell="A32" workbookViewId="0">
      <selection activeCell="K43" sqref="K43"/>
    </sheetView>
  </sheetViews>
  <sheetFormatPr defaultColWidth="12.59765625" defaultRowHeight="15.6" x14ac:dyDescent="0.6"/>
  <cols>
    <col min="1" max="1" width="50.59765625" style="30" customWidth="1"/>
    <col min="2" max="2" width="12.59765625" style="30" customWidth="1"/>
    <col min="3" max="3" width="10.84765625" style="52" bestFit="1" customWidth="1"/>
    <col min="4" max="4" width="24.84765625" style="30" bestFit="1" customWidth="1"/>
    <col min="5" max="5" width="17.75" style="60" bestFit="1" customWidth="1"/>
    <col min="6" max="6" width="21.75" style="60" bestFit="1" customWidth="1"/>
    <col min="7" max="7" width="19.09765625" style="60" bestFit="1" customWidth="1"/>
    <col min="8" max="8" width="13.5" style="35" bestFit="1" customWidth="1"/>
    <col min="9" max="9" width="12.59765625" style="30" bestFit="1" customWidth="1"/>
    <col min="10" max="10" width="35.59765625" style="30" hidden="1" customWidth="1"/>
    <col min="11" max="11" width="35.59765625" style="30" customWidth="1"/>
    <col min="12" max="16384" width="12.59765625" style="30"/>
  </cols>
  <sheetData>
    <row r="1" spans="1:11" x14ac:dyDescent="0.6">
      <c r="A1" s="108" t="e" vm="8">
        <v>#VALUE!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</row>
    <row r="2" spans="1:11" x14ac:dyDescent="0.6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</row>
    <row r="3" spans="1:11" x14ac:dyDescent="0.6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</row>
    <row r="4" spans="1:11" x14ac:dyDescent="0.6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</row>
    <row r="5" spans="1:11" x14ac:dyDescent="0.6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</row>
    <row r="6" spans="1:11" x14ac:dyDescent="0.6">
      <c r="A6" s="28"/>
      <c r="B6" s="28"/>
      <c r="C6" s="45"/>
      <c r="D6" s="46"/>
      <c r="E6" s="46"/>
      <c r="F6" s="46"/>
      <c r="G6" s="46"/>
      <c r="H6" s="47"/>
      <c r="I6" s="48"/>
    </row>
    <row r="7" spans="1:11" x14ac:dyDescent="0.6">
      <c r="A7" s="107" t="s">
        <v>15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</row>
    <row r="8" spans="1:11" x14ac:dyDescent="0.6">
      <c r="A8" s="36" t="s">
        <v>7</v>
      </c>
      <c r="B8" s="37" t="s">
        <v>6</v>
      </c>
      <c r="C8" s="38" t="s">
        <v>12</v>
      </c>
      <c r="D8" s="39" t="s">
        <v>2</v>
      </c>
      <c r="E8" s="37" t="s">
        <v>28</v>
      </c>
      <c r="F8" s="41" t="s">
        <v>14</v>
      </c>
      <c r="G8" s="44" t="s">
        <v>29</v>
      </c>
      <c r="H8" s="41" t="s">
        <v>9</v>
      </c>
      <c r="I8" s="42" t="s">
        <v>13</v>
      </c>
      <c r="J8" s="42" t="s">
        <v>23</v>
      </c>
      <c r="K8" s="43" t="s">
        <v>11</v>
      </c>
    </row>
    <row r="9" spans="1:11" ht="38.700000000000003" x14ac:dyDescent="0.6">
      <c r="A9" s="29" t="s">
        <v>48</v>
      </c>
      <c r="B9" s="29" t="s">
        <v>47</v>
      </c>
      <c r="C9" s="53">
        <v>129.97422119037569</v>
      </c>
      <c r="D9" s="54">
        <v>3694907.16</v>
      </c>
      <c r="E9" s="55">
        <v>307908.93</v>
      </c>
      <c r="F9" s="56">
        <v>28428</v>
      </c>
      <c r="G9" s="56">
        <v>2369</v>
      </c>
      <c r="H9" s="56">
        <v>484</v>
      </c>
      <c r="I9" s="57">
        <v>4.5999999999999996</v>
      </c>
      <c r="J9" s="57" t="s">
        <v>49</v>
      </c>
      <c r="K9" s="68" t="str">
        <f t="shared" ref="K9:K42" si="0">HYPERLINK(J9)</f>
        <v>https://amazon.com/dp/B0CJY5C9QX</v>
      </c>
    </row>
    <row r="10" spans="1:11" ht="38.700000000000003" x14ac:dyDescent="0.6">
      <c r="A10" s="29" t="s">
        <v>75</v>
      </c>
      <c r="B10" s="29" t="s">
        <v>74</v>
      </c>
      <c r="C10" s="53">
        <v>150.1325460636516</v>
      </c>
      <c r="D10" s="54">
        <v>1075549.56</v>
      </c>
      <c r="E10" s="55">
        <v>89629.13</v>
      </c>
      <c r="F10" s="56">
        <v>7164</v>
      </c>
      <c r="G10" s="56">
        <v>597</v>
      </c>
      <c r="H10" s="56">
        <v>3464</v>
      </c>
      <c r="I10" s="57">
        <v>4.5999999999999996</v>
      </c>
      <c r="J10" s="57" t="s">
        <v>76</v>
      </c>
      <c r="K10" s="68" t="str">
        <f t="shared" ref="K10:K24" si="1">HYPERLINK(J10)</f>
        <v>https://amazon.com/dp/B07TV2BFVR</v>
      </c>
    </row>
    <row r="11" spans="1:11" ht="38.700000000000003" x14ac:dyDescent="0.6">
      <c r="A11" s="29" t="s">
        <v>84</v>
      </c>
      <c r="B11" s="29" t="s">
        <v>83</v>
      </c>
      <c r="C11" s="53">
        <v>144.4350630252101</v>
      </c>
      <c r="D11" s="54">
        <v>825013.08</v>
      </c>
      <c r="E11" s="55">
        <v>68751.09</v>
      </c>
      <c r="F11" s="56">
        <v>5712</v>
      </c>
      <c r="G11" s="56">
        <v>476</v>
      </c>
      <c r="H11" s="56">
        <v>200</v>
      </c>
      <c r="I11" s="57">
        <v>4.5</v>
      </c>
      <c r="J11" s="57" t="s">
        <v>85</v>
      </c>
      <c r="K11" s="68" t="str">
        <f t="shared" si="1"/>
        <v>https://amazon.com/dp/B0CJY6SWBN</v>
      </c>
    </row>
    <row r="12" spans="1:11" ht="38.700000000000003" x14ac:dyDescent="0.6">
      <c r="A12" s="29" t="s">
        <v>102</v>
      </c>
      <c r="B12" s="29" t="s">
        <v>101</v>
      </c>
      <c r="C12" s="53">
        <v>39.989022498060507</v>
      </c>
      <c r="D12" s="54">
        <v>618550.19999999995</v>
      </c>
      <c r="E12" s="55">
        <v>51545.85</v>
      </c>
      <c r="F12" s="56">
        <v>15468</v>
      </c>
      <c r="G12" s="56">
        <v>1289</v>
      </c>
      <c r="H12" s="56">
        <v>377</v>
      </c>
      <c r="I12" s="57">
        <v>3.9</v>
      </c>
      <c r="J12" s="57" t="s">
        <v>103</v>
      </c>
      <c r="K12" s="68" t="str">
        <f t="shared" si="1"/>
        <v>https://amazon.com/dp/B0CL4KT182</v>
      </c>
    </row>
    <row r="13" spans="1:11" ht="38.700000000000003" x14ac:dyDescent="0.6">
      <c r="A13" s="29" t="s">
        <v>120</v>
      </c>
      <c r="B13" s="29" t="s">
        <v>119</v>
      </c>
      <c r="C13" s="53">
        <v>55.98104136947218</v>
      </c>
      <c r="D13" s="54">
        <v>470912.52</v>
      </c>
      <c r="E13" s="55">
        <v>39242.71</v>
      </c>
      <c r="F13" s="56">
        <v>8412</v>
      </c>
      <c r="G13" s="56">
        <v>701</v>
      </c>
      <c r="H13" s="56">
        <v>1990</v>
      </c>
      <c r="I13" s="57">
        <v>4.4000000000000004</v>
      </c>
      <c r="J13" s="57" t="s">
        <v>121</v>
      </c>
      <c r="K13" s="68" t="str">
        <f t="shared" si="1"/>
        <v>https://amazon.com/dp/B07TTQF24F</v>
      </c>
    </row>
    <row r="14" spans="1:11" ht="38.700000000000003" x14ac:dyDescent="0.6">
      <c r="A14" s="29" t="s">
        <v>178</v>
      </c>
      <c r="B14" s="29" t="s">
        <v>177</v>
      </c>
      <c r="C14" s="53">
        <v>131.28759036144581</v>
      </c>
      <c r="D14" s="54">
        <v>261524.88</v>
      </c>
      <c r="E14" s="55">
        <v>21793.74</v>
      </c>
      <c r="F14" s="56">
        <v>1992</v>
      </c>
      <c r="G14" s="56">
        <v>166</v>
      </c>
      <c r="H14" s="56">
        <v>3464</v>
      </c>
      <c r="I14" s="57">
        <v>4.5999999999999996</v>
      </c>
      <c r="J14" s="57" t="s">
        <v>179</v>
      </c>
      <c r="K14" s="68" t="str">
        <f t="shared" si="1"/>
        <v>https://amazon.com/dp/B08519F2W9</v>
      </c>
    </row>
    <row r="15" spans="1:11" ht="38.700000000000003" x14ac:dyDescent="0.6">
      <c r="A15" s="29" t="s">
        <v>338</v>
      </c>
      <c r="B15" s="29" t="s">
        <v>339</v>
      </c>
      <c r="C15" s="53">
        <v>143.49484848484849</v>
      </c>
      <c r="D15" s="54">
        <v>170471.88</v>
      </c>
      <c r="E15" s="55">
        <v>14205.99</v>
      </c>
      <c r="F15" s="56">
        <v>1188</v>
      </c>
      <c r="G15" s="56">
        <v>99</v>
      </c>
      <c r="H15" s="56">
        <v>3464</v>
      </c>
      <c r="I15" s="57">
        <v>4.5999999999999996</v>
      </c>
      <c r="J15" s="57" t="s">
        <v>340</v>
      </c>
      <c r="K15" s="68" t="str">
        <f t="shared" si="1"/>
        <v>https://amazon.com/dp/B08519V6GW</v>
      </c>
    </row>
    <row r="16" spans="1:11" ht="38.700000000000003" x14ac:dyDescent="0.6">
      <c r="A16" s="29" t="s">
        <v>341</v>
      </c>
      <c r="B16" s="29" t="s">
        <v>342</v>
      </c>
      <c r="C16" s="53">
        <v>95.92338582677165</v>
      </c>
      <c r="D16" s="54">
        <v>146187.24</v>
      </c>
      <c r="E16" s="55">
        <v>12182.27</v>
      </c>
      <c r="F16" s="56">
        <v>1524</v>
      </c>
      <c r="G16" s="56">
        <v>127</v>
      </c>
      <c r="H16" s="56">
        <v>699</v>
      </c>
      <c r="I16" s="57">
        <v>4.5999999999999996</v>
      </c>
      <c r="J16" s="57" t="s">
        <v>343</v>
      </c>
      <c r="K16" s="68" t="str">
        <f t="shared" si="1"/>
        <v>https://amazon.com/dp/B09Y1F2MPB</v>
      </c>
    </row>
    <row r="17" spans="1:11" ht="38.700000000000003" x14ac:dyDescent="0.6">
      <c r="A17" s="29" t="s">
        <v>344</v>
      </c>
      <c r="B17" s="29" t="s">
        <v>345</v>
      </c>
      <c r="C17" s="53">
        <v>49.992768595041319</v>
      </c>
      <c r="D17" s="54">
        <v>145179</v>
      </c>
      <c r="E17" s="55">
        <v>12098.25</v>
      </c>
      <c r="F17" s="56">
        <v>2904</v>
      </c>
      <c r="G17" s="56">
        <v>242</v>
      </c>
      <c r="H17" s="56">
        <v>67</v>
      </c>
      <c r="I17" s="57">
        <v>4.7</v>
      </c>
      <c r="J17" s="57" t="s">
        <v>346</v>
      </c>
      <c r="K17" s="68" t="str">
        <f t="shared" si="1"/>
        <v>https://amazon.com/dp/B0DK965BZP</v>
      </c>
    </row>
    <row r="18" spans="1:11" ht="38.700000000000003" x14ac:dyDescent="0.6">
      <c r="A18" s="29" t="s">
        <v>347</v>
      </c>
      <c r="B18" s="29" t="s">
        <v>348</v>
      </c>
      <c r="C18" s="53">
        <v>79.855555555555554</v>
      </c>
      <c r="D18" s="54">
        <v>137990.39999999999</v>
      </c>
      <c r="E18" s="55">
        <v>11499.2</v>
      </c>
      <c r="F18" s="56">
        <v>1728</v>
      </c>
      <c r="G18" s="56">
        <v>144</v>
      </c>
      <c r="H18" s="56">
        <v>2233</v>
      </c>
      <c r="I18" s="57">
        <v>4.4000000000000004</v>
      </c>
      <c r="J18" s="57" t="s">
        <v>349</v>
      </c>
      <c r="K18" s="68" t="str">
        <f t="shared" si="1"/>
        <v>https://amazon.com/dp/B086X1XGN1</v>
      </c>
    </row>
    <row r="19" spans="1:11" ht="38.700000000000003" x14ac:dyDescent="0.6">
      <c r="A19" s="29" t="s">
        <v>350</v>
      </c>
      <c r="B19" s="29" t="s">
        <v>351</v>
      </c>
      <c r="C19" s="53">
        <v>110.1817525773196</v>
      </c>
      <c r="D19" s="54">
        <v>128251.56</v>
      </c>
      <c r="E19" s="55">
        <v>10687.63</v>
      </c>
      <c r="F19" s="56">
        <v>1164</v>
      </c>
      <c r="G19" s="56">
        <v>97</v>
      </c>
      <c r="H19" s="56">
        <v>2233</v>
      </c>
      <c r="I19" s="57">
        <v>4.4000000000000004</v>
      </c>
      <c r="J19" s="57" t="s">
        <v>352</v>
      </c>
      <c r="K19" s="68" t="str">
        <f t="shared" si="1"/>
        <v>https://amazon.com/dp/B08QCMT89N</v>
      </c>
    </row>
    <row r="20" spans="1:11" ht="38.700000000000003" x14ac:dyDescent="0.6">
      <c r="A20" s="29" t="s">
        <v>353</v>
      </c>
      <c r="B20" s="29" t="s">
        <v>354</v>
      </c>
      <c r="C20" s="53">
        <v>64.843021582733812</v>
      </c>
      <c r="D20" s="54">
        <v>108158.16</v>
      </c>
      <c r="E20" s="55">
        <v>9013.18</v>
      </c>
      <c r="F20" s="56">
        <v>1668</v>
      </c>
      <c r="G20" s="56">
        <v>139</v>
      </c>
      <c r="H20" s="56">
        <v>334</v>
      </c>
      <c r="I20" s="57">
        <v>4.5999999999999996</v>
      </c>
      <c r="J20" s="57" t="s">
        <v>355</v>
      </c>
      <c r="K20" s="68" t="str">
        <f t="shared" si="1"/>
        <v>https://amazon.com/dp/B09N8HSSW1</v>
      </c>
    </row>
    <row r="21" spans="1:11" ht="38.700000000000003" x14ac:dyDescent="0.6">
      <c r="A21" s="29" t="s">
        <v>356</v>
      </c>
      <c r="B21" s="29" t="s">
        <v>357</v>
      </c>
      <c r="C21" s="53">
        <v>119.60085714285709</v>
      </c>
      <c r="D21" s="54">
        <v>100464.72</v>
      </c>
      <c r="E21" s="55">
        <v>8372.06</v>
      </c>
      <c r="F21" s="56">
        <v>840</v>
      </c>
      <c r="G21" s="56">
        <v>70</v>
      </c>
      <c r="H21" s="56">
        <v>77</v>
      </c>
      <c r="I21" s="57">
        <v>4.8</v>
      </c>
      <c r="J21" s="57" t="s">
        <v>358</v>
      </c>
      <c r="K21" s="68" t="str">
        <f t="shared" si="1"/>
        <v>https://amazon.com/dp/B0BG27Q1JS</v>
      </c>
    </row>
    <row r="22" spans="1:11" ht="38.700000000000003" x14ac:dyDescent="0.6">
      <c r="A22" s="29" t="s">
        <v>359</v>
      </c>
      <c r="B22" s="29" t="s">
        <v>360</v>
      </c>
      <c r="C22" s="53">
        <v>231.9012121212121</v>
      </c>
      <c r="D22" s="54">
        <v>91832.88</v>
      </c>
      <c r="E22" s="55">
        <v>7652.74</v>
      </c>
      <c r="F22" s="56">
        <v>396</v>
      </c>
      <c r="G22" s="56">
        <v>33</v>
      </c>
      <c r="H22" s="56">
        <v>4</v>
      </c>
      <c r="I22" s="57">
        <v>4.5</v>
      </c>
      <c r="J22" s="57" t="s">
        <v>361</v>
      </c>
      <c r="K22" s="68" t="str">
        <f t="shared" si="1"/>
        <v>https://amazon.com/dp/B0CLG8SKFV</v>
      </c>
    </row>
    <row r="23" spans="1:11" ht="38.700000000000003" x14ac:dyDescent="0.6">
      <c r="A23" s="29" t="s">
        <v>362</v>
      </c>
      <c r="B23" s="29" t="s">
        <v>363</v>
      </c>
      <c r="C23" s="53">
        <v>159.33104166666669</v>
      </c>
      <c r="D23" s="54">
        <v>91774.680000000008</v>
      </c>
      <c r="E23" s="55">
        <v>7647.89</v>
      </c>
      <c r="F23" s="56">
        <v>576</v>
      </c>
      <c r="G23" s="56">
        <v>48</v>
      </c>
      <c r="H23" s="56">
        <v>326</v>
      </c>
      <c r="I23" s="57">
        <v>4.5999999999999996</v>
      </c>
      <c r="J23" s="57" t="s">
        <v>364</v>
      </c>
      <c r="K23" s="68" t="str">
        <f t="shared" si="1"/>
        <v>https://amazon.com/dp/B09NBRQ4ST</v>
      </c>
    </row>
    <row r="24" spans="1:11" ht="38.700000000000003" x14ac:dyDescent="0.6">
      <c r="A24" s="29" t="s">
        <v>365</v>
      </c>
      <c r="B24" s="29" t="s">
        <v>366</v>
      </c>
      <c r="C24" s="53">
        <v>90.28209876543211</v>
      </c>
      <c r="D24" s="54">
        <v>87754.200000000012</v>
      </c>
      <c r="E24" s="55">
        <v>7312.85</v>
      </c>
      <c r="F24" s="56">
        <v>972</v>
      </c>
      <c r="G24" s="56">
        <v>81</v>
      </c>
      <c r="H24" s="56">
        <v>122</v>
      </c>
      <c r="I24" s="57">
        <v>4.4000000000000004</v>
      </c>
      <c r="J24" s="57" t="s">
        <v>367</v>
      </c>
      <c r="K24" s="68" t="str">
        <f t="shared" si="1"/>
        <v>https://amazon.com/dp/B09YGNWL44</v>
      </c>
    </row>
    <row r="25" spans="1:11" ht="38.700000000000003" x14ac:dyDescent="0.6">
      <c r="A25" s="29" t="s">
        <v>368</v>
      </c>
      <c r="B25" s="29" t="s">
        <v>369</v>
      </c>
      <c r="C25" s="53">
        <v>179.07400000000001</v>
      </c>
      <c r="D25" s="54">
        <v>75211.08</v>
      </c>
      <c r="E25" s="55">
        <v>6267.59</v>
      </c>
      <c r="F25" s="56">
        <v>420</v>
      </c>
      <c r="G25" s="56">
        <v>35</v>
      </c>
      <c r="H25" s="56">
        <v>91</v>
      </c>
      <c r="I25" s="57">
        <v>4.7</v>
      </c>
      <c r="J25" s="57" t="s">
        <v>370</v>
      </c>
      <c r="K25" s="68" t="str">
        <f t="shared" ref="K25:K39" si="2">HYPERLINK(J25)</f>
        <v>https://amazon.com/dp/B095HN3VQZ</v>
      </c>
    </row>
    <row r="26" spans="1:11" ht="38.700000000000003" x14ac:dyDescent="0.6">
      <c r="A26" s="29" t="s">
        <v>371</v>
      </c>
      <c r="B26" s="29" t="s">
        <v>372</v>
      </c>
      <c r="C26" s="53">
        <v>30.287536945812811</v>
      </c>
      <c r="D26" s="54">
        <v>73780.44</v>
      </c>
      <c r="E26" s="55">
        <v>6148.37</v>
      </c>
      <c r="F26" s="56">
        <v>2436</v>
      </c>
      <c r="G26" s="56">
        <v>203</v>
      </c>
      <c r="H26" s="56">
        <v>243</v>
      </c>
      <c r="I26" s="57">
        <v>4.3</v>
      </c>
      <c r="J26" s="57" t="s">
        <v>373</v>
      </c>
      <c r="K26" s="68" t="str">
        <f t="shared" si="2"/>
        <v>https://amazon.com/dp/B0C9L75QQ9</v>
      </c>
    </row>
    <row r="27" spans="1:11" ht="38.700000000000003" x14ac:dyDescent="0.6">
      <c r="A27" s="29" t="s">
        <v>374</v>
      </c>
      <c r="B27" s="29" t="s">
        <v>375</v>
      </c>
      <c r="C27" s="53">
        <v>100.3639655172414</v>
      </c>
      <c r="D27" s="54">
        <v>69853.319999999992</v>
      </c>
      <c r="E27" s="55">
        <v>5821.11</v>
      </c>
      <c r="F27" s="56">
        <v>696</v>
      </c>
      <c r="G27" s="56">
        <v>58</v>
      </c>
      <c r="H27" s="56">
        <v>57</v>
      </c>
      <c r="I27" s="57">
        <v>4.8</v>
      </c>
      <c r="J27" s="57" t="s">
        <v>376</v>
      </c>
      <c r="K27" s="68" t="str">
        <f t="shared" si="2"/>
        <v>https://amazon.com/dp/B0DH24P6NY</v>
      </c>
    </row>
    <row r="28" spans="1:11" ht="38.700000000000003" x14ac:dyDescent="0.6">
      <c r="A28" s="29" t="s">
        <v>377</v>
      </c>
      <c r="B28" s="29" t="s">
        <v>378</v>
      </c>
      <c r="C28" s="53">
        <v>172.24086956521739</v>
      </c>
      <c r="D28" s="54">
        <v>47538.48</v>
      </c>
      <c r="E28" s="55">
        <v>3961.54</v>
      </c>
      <c r="F28" s="56">
        <v>276</v>
      </c>
      <c r="G28" s="56">
        <v>23</v>
      </c>
      <c r="H28" s="56">
        <v>326</v>
      </c>
      <c r="I28" s="57">
        <v>4.5999999999999996</v>
      </c>
      <c r="J28" s="57" t="s">
        <v>379</v>
      </c>
      <c r="K28" s="68" t="str">
        <f t="shared" ref="K28:K36" si="3">HYPERLINK(J28)</f>
        <v>https://amazon.com/dp/B0CNPWHCQG</v>
      </c>
    </row>
    <row r="29" spans="1:11" ht="38.700000000000003" x14ac:dyDescent="0.6">
      <c r="A29" s="29" t="s">
        <v>380</v>
      </c>
      <c r="B29" s="29" t="s">
        <v>381</v>
      </c>
      <c r="C29" s="53">
        <v>49.9843661971831</v>
      </c>
      <c r="D29" s="54">
        <v>42586.68</v>
      </c>
      <c r="E29" s="55">
        <v>3548.89</v>
      </c>
      <c r="F29" s="56">
        <v>852</v>
      </c>
      <c r="G29" s="56">
        <v>71</v>
      </c>
      <c r="H29" s="56">
        <v>365</v>
      </c>
      <c r="I29" s="57">
        <v>4.2</v>
      </c>
      <c r="J29" s="57" t="s">
        <v>382</v>
      </c>
      <c r="K29" s="68" t="str">
        <f t="shared" si="3"/>
        <v>https://amazon.com/dp/B07HVT2XZL</v>
      </c>
    </row>
    <row r="30" spans="1:11" ht="38.700000000000003" x14ac:dyDescent="0.6">
      <c r="A30" s="29" t="s">
        <v>383</v>
      </c>
      <c r="B30" s="29" t="s">
        <v>384</v>
      </c>
      <c r="C30" s="53">
        <v>70.281199999999998</v>
      </c>
      <c r="D30" s="54">
        <v>42168.72</v>
      </c>
      <c r="E30" s="55">
        <v>3514.06</v>
      </c>
      <c r="F30" s="56">
        <v>600</v>
      </c>
      <c r="G30" s="56">
        <v>50</v>
      </c>
      <c r="H30" s="56">
        <v>57</v>
      </c>
      <c r="I30" s="57">
        <v>4.8</v>
      </c>
      <c r="J30" s="57" t="s">
        <v>385</v>
      </c>
      <c r="K30" s="68" t="str">
        <f t="shared" si="3"/>
        <v>https://amazon.com/dp/B0DH1ZGT5X</v>
      </c>
    </row>
    <row r="31" spans="1:11" ht="38.700000000000003" x14ac:dyDescent="0.6">
      <c r="A31" s="29" t="s">
        <v>386</v>
      </c>
      <c r="B31" s="29" t="s">
        <v>387</v>
      </c>
      <c r="C31" s="53">
        <v>31.964361702127661</v>
      </c>
      <c r="D31" s="54">
        <v>36055.800000000003</v>
      </c>
      <c r="E31" s="55">
        <v>3004.65</v>
      </c>
      <c r="F31" s="56">
        <v>1128</v>
      </c>
      <c r="G31" s="56">
        <v>94</v>
      </c>
      <c r="H31" s="56">
        <v>243</v>
      </c>
      <c r="I31" s="57">
        <v>4.3</v>
      </c>
      <c r="J31" s="57" t="s">
        <v>388</v>
      </c>
      <c r="K31" s="68" t="str">
        <f t="shared" si="3"/>
        <v>https://amazon.com/dp/B0D5XM8B12</v>
      </c>
    </row>
    <row r="32" spans="1:11" ht="38.700000000000003" x14ac:dyDescent="0.6">
      <c r="A32" s="29" t="s">
        <v>389</v>
      </c>
      <c r="B32" s="29" t="s">
        <v>390</v>
      </c>
      <c r="C32" s="53">
        <v>184.4075</v>
      </c>
      <c r="D32" s="54">
        <v>35406.239999999998</v>
      </c>
      <c r="E32" s="55">
        <v>2950.52</v>
      </c>
      <c r="F32" s="56">
        <v>192</v>
      </c>
      <c r="G32" s="56">
        <v>16</v>
      </c>
      <c r="H32" s="56"/>
      <c r="I32" s="57"/>
      <c r="J32" s="57" t="s">
        <v>391</v>
      </c>
      <c r="K32" s="68" t="str">
        <f t="shared" si="3"/>
        <v>https://amazon.com/dp/B0DH1X8ST7</v>
      </c>
    </row>
    <row r="33" spans="1:11" ht="38.700000000000003" x14ac:dyDescent="0.6">
      <c r="A33" s="29" t="s">
        <v>392</v>
      </c>
      <c r="B33" s="29" t="s">
        <v>393</v>
      </c>
      <c r="C33" s="53">
        <v>107.83181818181821</v>
      </c>
      <c r="D33" s="54">
        <v>28467.599999999999</v>
      </c>
      <c r="E33" s="55">
        <v>2372.3000000000002</v>
      </c>
      <c r="F33" s="56">
        <v>264</v>
      </c>
      <c r="G33" s="56">
        <v>22</v>
      </c>
      <c r="H33" s="56">
        <v>123</v>
      </c>
      <c r="I33" s="57">
        <v>4.5999999999999996</v>
      </c>
      <c r="J33" s="57" t="s">
        <v>394</v>
      </c>
      <c r="K33" s="68" t="str">
        <f t="shared" si="3"/>
        <v>https://amazon.com/dp/B09BZF4KT8</v>
      </c>
    </row>
    <row r="34" spans="1:11" ht="38.700000000000003" x14ac:dyDescent="0.6">
      <c r="A34" s="29" t="s">
        <v>395</v>
      </c>
      <c r="B34" s="29" t="s">
        <v>396</v>
      </c>
      <c r="C34" s="53">
        <v>84.828799999999987</v>
      </c>
      <c r="D34" s="54">
        <v>25448.639999999999</v>
      </c>
      <c r="E34" s="55">
        <v>2120.7199999999998</v>
      </c>
      <c r="F34" s="56">
        <v>300</v>
      </c>
      <c r="G34" s="56">
        <v>25</v>
      </c>
      <c r="H34" s="56">
        <v>57</v>
      </c>
      <c r="I34" s="57">
        <v>4.8</v>
      </c>
      <c r="J34" s="57" t="s">
        <v>397</v>
      </c>
      <c r="K34" s="68" t="str">
        <f t="shared" si="3"/>
        <v>https://amazon.com/dp/B0DGGM7X88</v>
      </c>
    </row>
    <row r="35" spans="1:11" ht="38.700000000000003" x14ac:dyDescent="0.6">
      <c r="A35" s="29" t="s">
        <v>398</v>
      </c>
      <c r="B35" s="29" t="s">
        <v>399</v>
      </c>
      <c r="C35" s="53">
        <v>171.405</v>
      </c>
      <c r="D35" s="54">
        <v>24682.32</v>
      </c>
      <c r="E35" s="55">
        <v>2056.86</v>
      </c>
      <c r="F35" s="56">
        <v>144</v>
      </c>
      <c r="G35" s="56">
        <v>12</v>
      </c>
      <c r="H35" s="56">
        <v>326</v>
      </c>
      <c r="I35" s="57">
        <v>4.5999999999999996</v>
      </c>
      <c r="J35" s="57" t="s">
        <v>400</v>
      </c>
      <c r="K35" s="68" t="str">
        <f t="shared" si="3"/>
        <v>https://amazon.com/dp/B07Q86XGN2</v>
      </c>
    </row>
    <row r="36" spans="1:11" ht="38.700000000000003" x14ac:dyDescent="0.6">
      <c r="A36" s="29" t="s">
        <v>401</v>
      </c>
      <c r="B36" s="29" t="s">
        <v>402</v>
      </c>
      <c r="C36" s="53">
        <v>51.845277777777781</v>
      </c>
      <c r="D36" s="54">
        <v>22397.16</v>
      </c>
      <c r="E36" s="55">
        <v>1866.43</v>
      </c>
      <c r="F36" s="56">
        <v>432</v>
      </c>
      <c r="G36" s="56">
        <v>36</v>
      </c>
      <c r="H36" s="56">
        <v>49</v>
      </c>
      <c r="I36" s="57">
        <v>4.2</v>
      </c>
      <c r="J36" s="57" t="s">
        <v>403</v>
      </c>
      <c r="K36" s="68" t="str">
        <f t="shared" si="3"/>
        <v>https://amazon.com/dp/B0DL621NQ2</v>
      </c>
    </row>
    <row r="37" spans="1:11" ht="38.700000000000003" x14ac:dyDescent="0.6">
      <c r="A37" s="29" t="s">
        <v>404</v>
      </c>
      <c r="B37" s="29" t="s">
        <v>405</v>
      </c>
      <c r="C37" s="53">
        <v>40.741794871794873</v>
      </c>
      <c r="D37" s="54">
        <v>19067.16</v>
      </c>
      <c r="E37" s="55">
        <v>1588.93</v>
      </c>
      <c r="F37" s="56">
        <v>468</v>
      </c>
      <c r="G37" s="56">
        <v>39</v>
      </c>
      <c r="H37" s="56">
        <v>40</v>
      </c>
      <c r="I37" s="57">
        <v>4.5</v>
      </c>
      <c r="J37" s="57" t="s">
        <v>406</v>
      </c>
      <c r="K37" s="68" t="str">
        <f t="shared" si="2"/>
        <v>https://amazon.com/dp/B0DL8LJTWM</v>
      </c>
    </row>
    <row r="38" spans="1:11" ht="38.700000000000003" x14ac:dyDescent="0.6">
      <c r="A38" s="29" t="s">
        <v>407</v>
      </c>
      <c r="B38" s="29" t="s">
        <v>408</v>
      </c>
      <c r="C38" s="53">
        <v>78.391499999999994</v>
      </c>
      <c r="D38" s="54">
        <v>18813.96</v>
      </c>
      <c r="E38" s="55">
        <v>1567.83</v>
      </c>
      <c r="F38" s="56">
        <v>240</v>
      </c>
      <c r="G38" s="56">
        <v>20</v>
      </c>
      <c r="H38" s="56">
        <v>27</v>
      </c>
      <c r="I38" s="57">
        <v>3.9</v>
      </c>
      <c r="J38" s="57" t="s">
        <v>409</v>
      </c>
      <c r="K38" s="68" t="str">
        <f t="shared" si="2"/>
        <v>https://amazon.com/dp/B0DGG5RBC3</v>
      </c>
    </row>
    <row r="39" spans="1:11" ht="38.700000000000003" x14ac:dyDescent="0.6">
      <c r="A39" s="29" t="s">
        <v>410</v>
      </c>
      <c r="B39" s="29" t="s">
        <v>411</v>
      </c>
      <c r="C39" s="53">
        <v>130.3133333333333</v>
      </c>
      <c r="D39" s="54">
        <v>18765.12</v>
      </c>
      <c r="E39" s="55">
        <v>1563.76</v>
      </c>
      <c r="F39" s="56">
        <v>144</v>
      </c>
      <c r="G39" s="56">
        <v>12</v>
      </c>
      <c r="H39" s="56">
        <v>699</v>
      </c>
      <c r="I39" s="57">
        <v>4.5999999999999996</v>
      </c>
      <c r="J39" s="57" t="s">
        <v>412</v>
      </c>
      <c r="K39" s="68" t="str">
        <f t="shared" si="2"/>
        <v>https://amazon.com/dp/B08PTVBGBQ</v>
      </c>
    </row>
    <row r="40" spans="1:11" ht="38.700000000000003" x14ac:dyDescent="0.6">
      <c r="A40" s="29" t="s">
        <v>413</v>
      </c>
      <c r="B40" s="29" t="s">
        <v>414</v>
      </c>
      <c r="C40" s="53">
        <v>27.715</v>
      </c>
      <c r="D40" s="54">
        <v>16629</v>
      </c>
      <c r="E40" s="55">
        <v>1385.75</v>
      </c>
      <c r="F40" s="56">
        <v>600</v>
      </c>
      <c r="G40" s="56">
        <v>50</v>
      </c>
      <c r="H40" s="56">
        <v>818</v>
      </c>
      <c r="I40" s="57">
        <v>4.3</v>
      </c>
      <c r="J40" s="57" t="s">
        <v>415</v>
      </c>
      <c r="K40" s="68" t="str">
        <f t="shared" si="0"/>
        <v>https://amazon.com/dp/B0CCQXK5JV</v>
      </c>
    </row>
    <row r="41" spans="1:11" ht="38.700000000000003" x14ac:dyDescent="0.6">
      <c r="A41" s="29" t="s">
        <v>416</v>
      </c>
      <c r="B41" s="29" t="s">
        <v>417</v>
      </c>
      <c r="C41" s="53">
        <v>89.751333333333335</v>
      </c>
      <c r="D41" s="54">
        <v>16155.24</v>
      </c>
      <c r="E41" s="55">
        <v>1346.27</v>
      </c>
      <c r="F41" s="56">
        <v>180</v>
      </c>
      <c r="G41" s="56">
        <v>15</v>
      </c>
      <c r="H41" s="56">
        <v>2233</v>
      </c>
      <c r="I41" s="57">
        <v>4.4000000000000004</v>
      </c>
      <c r="J41" s="57" t="s">
        <v>418</v>
      </c>
      <c r="K41" s="68" t="str">
        <f t="shared" si="0"/>
        <v>https://amazon.com/dp/B0DH1MDYG9</v>
      </c>
    </row>
    <row r="42" spans="1:11" ht="38.700000000000003" x14ac:dyDescent="0.6">
      <c r="A42" s="29" t="s">
        <v>419</v>
      </c>
      <c r="B42" s="29" t="s">
        <v>420</v>
      </c>
      <c r="C42" s="53">
        <v>40.476500000000001</v>
      </c>
      <c r="D42" s="54">
        <v>9714.36</v>
      </c>
      <c r="E42" s="55">
        <v>809.53</v>
      </c>
      <c r="F42" s="56">
        <v>240</v>
      </c>
      <c r="G42" s="56">
        <v>20</v>
      </c>
      <c r="H42" s="56">
        <v>244</v>
      </c>
      <c r="I42" s="57">
        <v>4.5</v>
      </c>
      <c r="J42" s="57" t="s">
        <v>421</v>
      </c>
      <c r="K42" s="68" t="str">
        <f t="shared" si="0"/>
        <v>https://amazon.com/dp/B0CL4MJ6NK</v>
      </c>
    </row>
    <row r="43" spans="1:11" ht="38.700000000000003" x14ac:dyDescent="0.6">
      <c r="A43" s="29" t="s">
        <v>422</v>
      </c>
      <c r="B43" s="29" t="s">
        <v>423</v>
      </c>
      <c r="C43" s="53">
        <v>38.925833333333337</v>
      </c>
      <c r="D43" s="54">
        <v>5605.32</v>
      </c>
      <c r="E43" s="55">
        <v>467.11</v>
      </c>
      <c r="F43" s="56">
        <v>144</v>
      </c>
      <c r="G43" s="56">
        <v>12</v>
      </c>
      <c r="H43" s="56">
        <v>818</v>
      </c>
      <c r="I43" s="57">
        <v>4.3</v>
      </c>
      <c r="J43" s="57" t="s">
        <v>424</v>
      </c>
      <c r="K43" s="68" t="str">
        <f>HYPERLINK(J43)</f>
        <v>https://amazon.com/dp/B0D2C41HHX</v>
      </c>
    </row>
    <row r="44" spans="1:11" ht="25.8" x14ac:dyDescent="0.6">
      <c r="A44" s="29" t="s">
        <v>425</v>
      </c>
      <c r="B44" s="29" t="s">
        <v>426</v>
      </c>
      <c r="C44" s="53">
        <v>52.726666666666667</v>
      </c>
      <c r="D44" s="54">
        <v>3796.32</v>
      </c>
      <c r="E44" s="55">
        <v>316.36</v>
      </c>
      <c r="F44" s="56">
        <v>72</v>
      </c>
      <c r="G44" s="56">
        <v>6</v>
      </c>
      <c r="H44" s="56"/>
      <c r="I44" s="57"/>
      <c r="J44" s="57" t="s">
        <v>427</v>
      </c>
      <c r="K44" s="68" t="str">
        <f t="shared" ref="K44:K45" si="4">HYPERLINK(J44)</f>
        <v>https://amazon.com/dp/B0DBHXHWVG</v>
      </c>
    </row>
    <row r="45" spans="1:11" ht="25.8" x14ac:dyDescent="0.6">
      <c r="A45" s="29" t="s">
        <v>428</v>
      </c>
      <c r="B45" s="29" t="s">
        <v>429</v>
      </c>
      <c r="C45" s="53">
        <v>78.997500000000002</v>
      </c>
      <c r="D45" s="54">
        <v>3791.88</v>
      </c>
      <c r="E45" s="55">
        <v>315.99</v>
      </c>
      <c r="F45" s="56">
        <v>48</v>
      </c>
      <c r="G45" s="56">
        <v>4</v>
      </c>
      <c r="H45" s="56">
        <v>9</v>
      </c>
      <c r="I45" s="57">
        <v>4.7</v>
      </c>
      <c r="J45" s="57" t="s">
        <v>430</v>
      </c>
      <c r="K45" s="68" t="str">
        <f t="shared" si="4"/>
        <v>https://amazon.com/dp/B09P4WNYBB</v>
      </c>
    </row>
    <row r="46" spans="1:11" ht="25.8" x14ac:dyDescent="0.6">
      <c r="A46" s="29" t="s">
        <v>431</v>
      </c>
      <c r="B46" s="29" t="s">
        <v>432</v>
      </c>
      <c r="C46" s="53">
        <v>21.265000000000001</v>
      </c>
      <c r="D46" s="54">
        <v>2551.8000000000002</v>
      </c>
      <c r="E46" s="55">
        <v>212.65</v>
      </c>
      <c r="F46" s="56">
        <v>120</v>
      </c>
      <c r="G46" s="56">
        <v>10</v>
      </c>
      <c r="H46" s="56">
        <v>1</v>
      </c>
      <c r="I46" s="57">
        <v>1</v>
      </c>
      <c r="J46" s="57" t="s">
        <v>433</v>
      </c>
      <c r="K46" s="68" t="str">
        <f>HYPERLINK(J46)</f>
        <v>https://amazon.com/dp/B0CX4C3QXK</v>
      </c>
    </row>
    <row r="47" spans="1:11" x14ac:dyDescent="0.6">
      <c r="A47" s="32" t="s">
        <v>5</v>
      </c>
      <c r="B47" s="32"/>
      <c r="C47" s="69"/>
      <c r="D47" s="70">
        <f>SUM(D9:D46)</f>
        <v>8793008.7600000054</v>
      </c>
      <c r="E47" s="70">
        <f>SUM(E9:E46)</f>
        <v>732750.73000000021</v>
      </c>
      <c r="F47" s="71"/>
      <c r="G47" s="71"/>
      <c r="H47" s="71"/>
      <c r="I47" s="72"/>
      <c r="J47" s="32"/>
    </row>
    <row r="48" spans="1:11" x14ac:dyDescent="0.6">
      <c r="A48" s="29"/>
      <c r="B48" s="29"/>
      <c r="C48" s="54"/>
      <c r="D48" s="54"/>
      <c r="E48" s="56"/>
      <c r="F48" s="56"/>
      <c r="G48" s="56"/>
      <c r="H48" s="57"/>
      <c r="I48" s="29"/>
    </row>
    <row r="49" spans="1:11" x14ac:dyDescent="0.6">
      <c r="A49" s="29"/>
      <c r="B49" s="29"/>
      <c r="C49" s="54"/>
      <c r="D49" s="54"/>
      <c r="E49" s="56"/>
      <c r="F49" s="56"/>
      <c r="G49" s="56"/>
      <c r="H49" s="57"/>
      <c r="I49" s="29"/>
    </row>
    <row r="50" spans="1:11" x14ac:dyDescent="0.6">
      <c r="A50" s="107" t="s">
        <v>18</v>
      </c>
      <c r="B50" s="107"/>
      <c r="C50" s="107"/>
      <c r="D50" s="107"/>
      <c r="E50" s="107"/>
      <c r="F50" s="107"/>
      <c r="G50" s="107"/>
      <c r="H50" s="107"/>
      <c r="I50" s="107"/>
      <c r="J50" s="107"/>
      <c r="K50" s="107"/>
    </row>
    <row r="51" spans="1:11" x14ac:dyDescent="0.6">
      <c r="A51" s="36" t="s">
        <v>7</v>
      </c>
      <c r="B51" s="37" t="s">
        <v>6</v>
      </c>
      <c r="C51" s="38" t="s">
        <v>12</v>
      </c>
      <c r="D51" s="39" t="s">
        <v>2</v>
      </c>
      <c r="E51" s="37" t="s">
        <v>28</v>
      </c>
      <c r="F51" s="41" t="s">
        <v>14</v>
      </c>
      <c r="G51" s="44" t="s">
        <v>29</v>
      </c>
      <c r="H51" s="41" t="s">
        <v>9</v>
      </c>
      <c r="I51" s="42" t="s">
        <v>13</v>
      </c>
      <c r="J51" s="42" t="s">
        <v>23</v>
      </c>
      <c r="K51" s="43" t="s">
        <v>11</v>
      </c>
    </row>
    <row r="52" spans="1:11" ht="38.700000000000003" x14ac:dyDescent="0.6">
      <c r="A52" s="29" t="s">
        <v>48</v>
      </c>
      <c r="B52" s="29" t="s">
        <v>47</v>
      </c>
      <c r="C52" s="53">
        <v>129.97422119037569</v>
      </c>
      <c r="D52" s="54">
        <v>3694907.16</v>
      </c>
      <c r="E52" s="54">
        <v>307908.93</v>
      </c>
      <c r="F52" s="56">
        <v>28428</v>
      </c>
      <c r="G52" s="58">
        <v>2369</v>
      </c>
      <c r="H52" s="56">
        <v>484</v>
      </c>
      <c r="I52" s="57">
        <v>4.5999999999999996</v>
      </c>
      <c r="J52" s="57" t="s">
        <v>49</v>
      </c>
      <c r="K52" s="33" t="str">
        <f>HYPERLINK(J52)</f>
        <v>https://amazon.com/dp/B0CJY5C9QX</v>
      </c>
    </row>
    <row r="53" spans="1:11" ht="38.700000000000003" x14ac:dyDescent="0.6">
      <c r="A53" s="29" t="s">
        <v>102</v>
      </c>
      <c r="B53" s="29" t="s">
        <v>101</v>
      </c>
      <c r="C53" s="53">
        <v>39.989022498060507</v>
      </c>
      <c r="D53" s="54">
        <v>618550.19999999995</v>
      </c>
      <c r="E53" s="54">
        <v>51545.85</v>
      </c>
      <c r="F53" s="56">
        <v>15468</v>
      </c>
      <c r="G53" s="58">
        <v>1289</v>
      </c>
      <c r="H53" s="56">
        <v>377</v>
      </c>
      <c r="I53" s="57">
        <v>3.9</v>
      </c>
      <c r="J53" s="57" t="s">
        <v>103</v>
      </c>
      <c r="K53" s="33" t="str">
        <f t="shared" ref="K53" si="5">HYPERLINK(J53)</f>
        <v>https://amazon.com/dp/B0CL4KT182</v>
      </c>
    </row>
    <row r="54" spans="1:11" ht="38.700000000000003" x14ac:dyDescent="0.6">
      <c r="A54" s="29" t="s">
        <v>120</v>
      </c>
      <c r="B54" s="29" t="s">
        <v>119</v>
      </c>
      <c r="C54" s="53">
        <v>55.98104136947218</v>
      </c>
      <c r="D54" s="54">
        <v>470912.52</v>
      </c>
      <c r="E54" s="54">
        <v>39242.71</v>
      </c>
      <c r="F54" s="56">
        <v>8412</v>
      </c>
      <c r="G54" s="58">
        <v>701</v>
      </c>
      <c r="H54" s="56">
        <v>1990</v>
      </c>
      <c r="I54" s="57">
        <v>4.4000000000000004</v>
      </c>
      <c r="J54" s="57" t="s">
        <v>121</v>
      </c>
      <c r="K54" s="33" t="str">
        <f>HYPERLINK(J54)</f>
        <v>https://amazon.com/dp/B07TTQF24F</v>
      </c>
    </row>
    <row r="55" spans="1:11" ht="38.700000000000003" x14ac:dyDescent="0.6">
      <c r="A55" s="29" t="s">
        <v>75</v>
      </c>
      <c r="B55" s="29" t="s">
        <v>74</v>
      </c>
      <c r="C55" s="53">
        <v>150.1325460636516</v>
      </c>
      <c r="D55" s="54">
        <v>1075549.56</v>
      </c>
      <c r="E55" s="54">
        <v>89629.13</v>
      </c>
      <c r="F55" s="56">
        <v>7164</v>
      </c>
      <c r="G55" s="58">
        <v>597</v>
      </c>
      <c r="H55" s="56">
        <v>3464</v>
      </c>
      <c r="I55" s="57">
        <v>4.5999999999999996</v>
      </c>
      <c r="J55" s="57" t="s">
        <v>76</v>
      </c>
      <c r="K55" s="33" t="str">
        <f>HYPERLINK(J55)</f>
        <v>https://amazon.com/dp/B07TV2BFVR</v>
      </c>
    </row>
    <row r="56" spans="1:11" ht="38.700000000000003" x14ac:dyDescent="0.6">
      <c r="A56" s="29" t="s">
        <v>84</v>
      </c>
      <c r="B56" s="29" t="s">
        <v>83</v>
      </c>
      <c r="C56" s="53">
        <v>144.4350630252101</v>
      </c>
      <c r="D56" s="54">
        <v>825013.08</v>
      </c>
      <c r="E56" s="54">
        <v>68751.09</v>
      </c>
      <c r="F56" s="56">
        <v>5712</v>
      </c>
      <c r="G56" s="58">
        <v>476</v>
      </c>
      <c r="H56" s="56">
        <v>200</v>
      </c>
      <c r="I56" s="57">
        <v>4.5</v>
      </c>
      <c r="J56" s="57" t="s">
        <v>85</v>
      </c>
      <c r="K56" s="33" t="str">
        <f>HYPERLINK(J56)</f>
        <v>https://amazon.com/dp/B0CJY6SWBN</v>
      </c>
    </row>
    <row r="57" spans="1:11" ht="38.700000000000003" x14ac:dyDescent="0.6">
      <c r="A57" s="29" t="s">
        <v>344</v>
      </c>
      <c r="B57" s="29" t="s">
        <v>345</v>
      </c>
      <c r="C57" s="53">
        <v>49.992768595041319</v>
      </c>
      <c r="D57" s="54">
        <v>145179</v>
      </c>
      <c r="E57" s="54">
        <v>12098.25</v>
      </c>
      <c r="F57" s="56">
        <v>2904</v>
      </c>
      <c r="G57" s="58">
        <v>242</v>
      </c>
      <c r="H57" s="56">
        <v>67</v>
      </c>
      <c r="I57" s="57">
        <v>4.7</v>
      </c>
      <c r="J57" s="57" t="s">
        <v>346</v>
      </c>
      <c r="K57" s="33" t="str">
        <f t="shared" ref="K57:K58" si="6">HYPERLINK(J57)</f>
        <v>https://amazon.com/dp/B0DK965BZP</v>
      </c>
    </row>
    <row r="58" spans="1:11" ht="38.700000000000003" x14ac:dyDescent="0.6">
      <c r="A58" s="29" t="s">
        <v>371</v>
      </c>
      <c r="B58" s="29" t="s">
        <v>372</v>
      </c>
      <c r="C58" s="53">
        <v>30.287536945812811</v>
      </c>
      <c r="D58" s="54">
        <v>73780.44</v>
      </c>
      <c r="E58" s="54">
        <v>6148.37</v>
      </c>
      <c r="F58" s="56">
        <v>2436</v>
      </c>
      <c r="G58" s="58">
        <v>203</v>
      </c>
      <c r="H58" s="56">
        <v>243</v>
      </c>
      <c r="I58" s="57">
        <v>4.3</v>
      </c>
      <c r="J58" s="57" t="s">
        <v>373</v>
      </c>
      <c r="K58" s="33" t="str">
        <f t="shared" si="6"/>
        <v>https://amazon.com/dp/B0C9L75QQ9</v>
      </c>
    </row>
    <row r="59" spans="1:11" ht="38.700000000000003" x14ac:dyDescent="0.6">
      <c r="A59" s="29" t="s">
        <v>178</v>
      </c>
      <c r="B59" s="29" t="s">
        <v>177</v>
      </c>
      <c r="C59" s="53">
        <v>131.28759036144581</v>
      </c>
      <c r="D59" s="54">
        <v>261524.88</v>
      </c>
      <c r="E59" s="54">
        <v>21793.74</v>
      </c>
      <c r="F59" s="56">
        <v>1992</v>
      </c>
      <c r="G59" s="58">
        <v>166</v>
      </c>
      <c r="H59" s="56">
        <v>3464</v>
      </c>
      <c r="I59" s="57">
        <v>4.5999999999999996</v>
      </c>
      <c r="J59" s="57" t="s">
        <v>179</v>
      </c>
      <c r="K59" s="33" t="str">
        <f t="shared" ref="K59:K64" si="7">HYPERLINK(J59)</f>
        <v>https://amazon.com/dp/B08519F2W9</v>
      </c>
    </row>
    <row r="60" spans="1:11" ht="38.700000000000003" x14ac:dyDescent="0.6">
      <c r="A60" s="29" t="s">
        <v>347</v>
      </c>
      <c r="B60" s="29" t="s">
        <v>348</v>
      </c>
      <c r="C60" s="53">
        <v>79.855555555555554</v>
      </c>
      <c r="D60" s="54">
        <v>137990.39999999999</v>
      </c>
      <c r="E60" s="54">
        <v>11499.2</v>
      </c>
      <c r="F60" s="56">
        <v>1728</v>
      </c>
      <c r="G60" s="58">
        <v>144</v>
      </c>
      <c r="H60" s="56">
        <v>2233</v>
      </c>
      <c r="I60" s="57">
        <v>4.4000000000000004</v>
      </c>
      <c r="J60" s="57" t="s">
        <v>349</v>
      </c>
      <c r="K60" s="33" t="str">
        <f t="shared" si="7"/>
        <v>https://amazon.com/dp/B086X1XGN1</v>
      </c>
    </row>
    <row r="61" spans="1:11" ht="38.700000000000003" x14ac:dyDescent="0.6">
      <c r="A61" s="29" t="s">
        <v>353</v>
      </c>
      <c r="B61" s="29" t="s">
        <v>354</v>
      </c>
      <c r="C61" s="53">
        <v>64.843021582733812</v>
      </c>
      <c r="D61" s="54">
        <v>108158.16</v>
      </c>
      <c r="E61" s="54">
        <v>9013.18</v>
      </c>
      <c r="F61" s="56">
        <v>1668</v>
      </c>
      <c r="G61" s="58">
        <v>139</v>
      </c>
      <c r="H61" s="56">
        <v>334</v>
      </c>
      <c r="I61" s="57">
        <v>4.5999999999999996</v>
      </c>
      <c r="J61" s="57" t="s">
        <v>355</v>
      </c>
      <c r="K61" s="33" t="str">
        <f t="shared" si="7"/>
        <v>https://amazon.com/dp/B09N8HSSW1</v>
      </c>
    </row>
    <row r="62" spans="1:11" ht="38.700000000000003" x14ac:dyDescent="0.6">
      <c r="A62" s="29" t="s">
        <v>341</v>
      </c>
      <c r="B62" s="29" t="s">
        <v>342</v>
      </c>
      <c r="C62" s="53">
        <v>95.92338582677165</v>
      </c>
      <c r="D62" s="54">
        <v>146187.24</v>
      </c>
      <c r="E62" s="54">
        <v>12182.27</v>
      </c>
      <c r="F62" s="56">
        <v>1524</v>
      </c>
      <c r="G62" s="58">
        <v>127</v>
      </c>
      <c r="H62" s="56">
        <v>699</v>
      </c>
      <c r="I62" s="57">
        <v>4.5999999999999996</v>
      </c>
      <c r="J62" s="57" t="s">
        <v>343</v>
      </c>
      <c r="K62" s="33" t="str">
        <f t="shared" si="7"/>
        <v>https://amazon.com/dp/B09Y1F2MPB</v>
      </c>
    </row>
    <row r="63" spans="1:11" ht="38.700000000000003" x14ac:dyDescent="0.6">
      <c r="A63" s="29" t="s">
        <v>338</v>
      </c>
      <c r="B63" s="29" t="s">
        <v>339</v>
      </c>
      <c r="C63" s="53">
        <v>143.49484848484849</v>
      </c>
      <c r="D63" s="54">
        <v>170471.88</v>
      </c>
      <c r="E63" s="54">
        <v>14205.99</v>
      </c>
      <c r="F63" s="56">
        <v>1188</v>
      </c>
      <c r="G63" s="58">
        <v>99</v>
      </c>
      <c r="H63" s="56">
        <v>3464</v>
      </c>
      <c r="I63" s="57">
        <v>4.5999999999999996</v>
      </c>
      <c r="J63" s="57" t="s">
        <v>340</v>
      </c>
      <c r="K63" s="33" t="str">
        <f t="shared" si="7"/>
        <v>https://amazon.com/dp/B08519V6GW</v>
      </c>
    </row>
    <row r="64" spans="1:11" ht="38.700000000000003" x14ac:dyDescent="0.6">
      <c r="A64" s="29" t="s">
        <v>350</v>
      </c>
      <c r="B64" s="29" t="s">
        <v>351</v>
      </c>
      <c r="C64" s="53">
        <v>110.1817525773196</v>
      </c>
      <c r="D64" s="54">
        <v>128251.56</v>
      </c>
      <c r="E64" s="54">
        <v>10687.63</v>
      </c>
      <c r="F64" s="56">
        <v>1164</v>
      </c>
      <c r="G64" s="58">
        <v>97</v>
      </c>
      <c r="H64" s="56">
        <v>2233</v>
      </c>
      <c r="I64" s="57">
        <v>4.4000000000000004</v>
      </c>
      <c r="J64" s="57" t="s">
        <v>352</v>
      </c>
      <c r="K64" s="33" t="str">
        <f t="shared" si="7"/>
        <v>https://amazon.com/dp/B08QCMT89N</v>
      </c>
    </row>
    <row r="65" spans="1:11" ht="38.700000000000003" x14ac:dyDescent="0.6">
      <c r="A65" s="29" t="s">
        <v>386</v>
      </c>
      <c r="B65" s="29" t="s">
        <v>387</v>
      </c>
      <c r="C65" s="53">
        <v>31.964361702127661</v>
      </c>
      <c r="D65" s="54">
        <v>36055.800000000003</v>
      </c>
      <c r="E65" s="54">
        <v>3004.65</v>
      </c>
      <c r="F65" s="56">
        <v>1128</v>
      </c>
      <c r="G65" s="58">
        <v>94</v>
      </c>
      <c r="H65" s="56">
        <v>243</v>
      </c>
      <c r="I65" s="57">
        <v>4.3</v>
      </c>
      <c r="J65" s="57" t="s">
        <v>388</v>
      </c>
      <c r="K65" s="33" t="str">
        <f t="shared" ref="K65:K89" si="8">HYPERLINK(J65)</f>
        <v>https://amazon.com/dp/B0D5XM8B12</v>
      </c>
    </row>
    <row r="66" spans="1:11" ht="38.700000000000003" x14ac:dyDescent="0.6">
      <c r="A66" s="29" t="s">
        <v>365</v>
      </c>
      <c r="B66" s="29" t="s">
        <v>366</v>
      </c>
      <c r="C66" s="53">
        <v>90.28209876543211</v>
      </c>
      <c r="D66" s="54">
        <v>87754.200000000012</v>
      </c>
      <c r="E66" s="54">
        <v>7312.85</v>
      </c>
      <c r="F66" s="56">
        <v>972</v>
      </c>
      <c r="G66" s="58">
        <v>81</v>
      </c>
      <c r="H66" s="56">
        <v>122</v>
      </c>
      <c r="I66" s="57">
        <v>4.4000000000000004</v>
      </c>
      <c r="J66" s="57" t="s">
        <v>367</v>
      </c>
      <c r="K66" s="33" t="str">
        <f t="shared" si="8"/>
        <v>https://amazon.com/dp/B09YGNWL44</v>
      </c>
    </row>
    <row r="67" spans="1:11" ht="38.700000000000003" x14ac:dyDescent="0.6">
      <c r="A67" s="29" t="s">
        <v>380</v>
      </c>
      <c r="B67" s="29" t="s">
        <v>381</v>
      </c>
      <c r="C67" s="53">
        <v>49.9843661971831</v>
      </c>
      <c r="D67" s="54">
        <v>42586.68</v>
      </c>
      <c r="E67" s="54">
        <v>3548.89</v>
      </c>
      <c r="F67" s="56">
        <v>852</v>
      </c>
      <c r="G67" s="58">
        <v>71</v>
      </c>
      <c r="H67" s="56">
        <v>365</v>
      </c>
      <c r="I67" s="57">
        <v>4.2</v>
      </c>
      <c r="J67" s="57" t="s">
        <v>382</v>
      </c>
      <c r="K67" s="33" t="str">
        <f t="shared" si="8"/>
        <v>https://amazon.com/dp/B07HVT2XZL</v>
      </c>
    </row>
    <row r="68" spans="1:11" ht="38.700000000000003" x14ac:dyDescent="0.6">
      <c r="A68" s="29" t="s">
        <v>356</v>
      </c>
      <c r="B68" s="29" t="s">
        <v>357</v>
      </c>
      <c r="C68" s="53">
        <v>119.60085714285709</v>
      </c>
      <c r="D68" s="54">
        <v>100464.72</v>
      </c>
      <c r="E68" s="54">
        <v>8372.06</v>
      </c>
      <c r="F68" s="56">
        <v>840</v>
      </c>
      <c r="G68" s="58">
        <v>70</v>
      </c>
      <c r="H68" s="56">
        <v>77</v>
      </c>
      <c r="I68" s="57">
        <v>4.8</v>
      </c>
      <c r="J68" s="57" t="s">
        <v>358</v>
      </c>
      <c r="K68" s="33" t="str">
        <f t="shared" si="8"/>
        <v>https://amazon.com/dp/B0BG27Q1JS</v>
      </c>
    </row>
    <row r="69" spans="1:11" ht="38.700000000000003" x14ac:dyDescent="0.6">
      <c r="A69" s="29" t="s">
        <v>374</v>
      </c>
      <c r="B69" s="29" t="s">
        <v>375</v>
      </c>
      <c r="C69" s="53">
        <v>100.3639655172414</v>
      </c>
      <c r="D69" s="54">
        <v>69853.319999999992</v>
      </c>
      <c r="E69" s="54">
        <v>5821.11</v>
      </c>
      <c r="F69" s="56">
        <v>696</v>
      </c>
      <c r="G69" s="58">
        <v>58</v>
      </c>
      <c r="H69" s="56">
        <v>57</v>
      </c>
      <c r="I69" s="57">
        <v>4.8</v>
      </c>
      <c r="J69" s="57" t="s">
        <v>376</v>
      </c>
      <c r="K69" s="33" t="str">
        <f t="shared" si="8"/>
        <v>https://amazon.com/dp/B0DH24P6NY</v>
      </c>
    </row>
    <row r="70" spans="1:11" ht="38.700000000000003" x14ac:dyDescent="0.6">
      <c r="A70" s="29" t="s">
        <v>383</v>
      </c>
      <c r="B70" s="29" t="s">
        <v>384</v>
      </c>
      <c r="C70" s="53">
        <v>70.281199999999998</v>
      </c>
      <c r="D70" s="54">
        <v>42168.72</v>
      </c>
      <c r="E70" s="54">
        <v>3514.06</v>
      </c>
      <c r="F70" s="56">
        <v>600</v>
      </c>
      <c r="G70" s="58">
        <v>50</v>
      </c>
      <c r="H70" s="56">
        <v>57</v>
      </c>
      <c r="I70" s="57">
        <v>4.8</v>
      </c>
      <c r="J70" s="57" t="s">
        <v>385</v>
      </c>
      <c r="K70" s="33" t="str">
        <f t="shared" si="8"/>
        <v>https://amazon.com/dp/B0DH1ZGT5X</v>
      </c>
    </row>
    <row r="71" spans="1:11" ht="38.700000000000003" x14ac:dyDescent="0.6">
      <c r="A71" s="29" t="s">
        <v>413</v>
      </c>
      <c r="B71" s="29" t="s">
        <v>414</v>
      </c>
      <c r="C71" s="53">
        <v>27.715</v>
      </c>
      <c r="D71" s="54">
        <v>16629</v>
      </c>
      <c r="E71" s="54">
        <v>1385.75</v>
      </c>
      <c r="F71" s="56">
        <v>600</v>
      </c>
      <c r="G71" s="58">
        <v>50</v>
      </c>
      <c r="H71" s="56">
        <v>818</v>
      </c>
      <c r="I71" s="57">
        <v>4.3</v>
      </c>
      <c r="J71" s="57" t="s">
        <v>415</v>
      </c>
      <c r="K71" s="33" t="str">
        <f t="shared" si="8"/>
        <v>https://amazon.com/dp/B0CCQXK5JV</v>
      </c>
    </row>
    <row r="72" spans="1:11" ht="38.700000000000003" x14ac:dyDescent="0.6">
      <c r="A72" s="29" t="s">
        <v>362</v>
      </c>
      <c r="B72" s="29" t="s">
        <v>363</v>
      </c>
      <c r="C72" s="53">
        <v>159.33104166666669</v>
      </c>
      <c r="D72" s="54">
        <v>91774.680000000008</v>
      </c>
      <c r="E72" s="54">
        <v>7647.89</v>
      </c>
      <c r="F72" s="56">
        <v>576</v>
      </c>
      <c r="G72" s="58">
        <v>48</v>
      </c>
      <c r="H72" s="56">
        <v>326</v>
      </c>
      <c r="I72" s="57">
        <v>4.5999999999999996</v>
      </c>
      <c r="J72" s="57" t="s">
        <v>364</v>
      </c>
      <c r="K72" s="33" t="str">
        <f t="shared" si="8"/>
        <v>https://amazon.com/dp/B09NBRQ4ST</v>
      </c>
    </row>
    <row r="73" spans="1:11" ht="38.700000000000003" x14ac:dyDescent="0.6">
      <c r="A73" s="29" t="s">
        <v>404</v>
      </c>
      <c r="B73" s="29" t="s">
        <v>405</v>
      </c>
      <c r="C73" s="53">
        <v>40.741794871794873</v>
      </c>
      <c r="D73" s="54">
        <v>19067.16</v>
      </c>
      <c r="E73" s="54">
        <v>1588.93</v>
      </c>
      <c r="F73" s="56">
        <v>468</v>
      </c>
      <c r="G73" s="58">
        <v>39</v>
      </c>
      <c r="H73" s="56">
        <v>40</v>
      </c>
      <c r="I73" s="57">
        <v>4.5</v>
      </c>
      <c r="J73" s="57" t="s">
        <v>406</v>
      </c>
      <c r="K73" s="33" t="str">
        <f t="shared" si="8"/>
        <v>https://amazon.com/dp/B0DL8LJTWM</v>
      </c>
    </row>
    <row r="74" spans="1:11" ht="38.700000000000003" x14ac:dyDescent="0.6">
      <c r="A74" s="29" t="s">
        <v>401</v>
      </c>
      <c r="B74" s="29" t="s">
        <v>402</v>
      </c>
      <c r="C74" s="53">
        <v>51.845277777777781</v>
      </c>
      <c r="D74" s="54">
        <v>22397.16</v>
      </c>
      <c r="E74" s="54">
        <v>1866.43</v>
      </c>
      <c r="F74" s="56">
        <v>432</v>
      </c>
      <c r="G74" s="58">
        <v>36</v>
      </c>
      <c r="H74" s="56">
        <v>49</v>
      </c>
      <c r="I74" s="57">
        <v>4.2</v>
      </c>
      <c r="J74" s="57" t="s">
        <v>403</v>
      </c>
      <c r="K74" s="33" t="str">
        <f t="shared" si="8"/>
        <v>https://amazon.com/dp/B0DL621NQ2</v>
      </c>
    </row>
    <row r="75" spans="1:11" ht="38.700000000000003" x14ac:dyDescent="0.6">
      <c r="A75" s="29" t="s">
        <v>368</v>
      </c>
      <c r="B75" s="29" t="s">
        <v>369</v>
      </c>
      <c r="C75" s="53">
        <v>179.07400000000001</v>
      </c>
      <c r="D75" s="54">
        <v>75211.08</v>
      </c>
      <c r="E75" s="54">
        <v>6267.59</v>
      </c>
      <c r="F75" s="56">
        <v>420</v>
      </c>
      <c r="G75" s="58">
        <v>35</v>
      </c>
      <c r="H75" s="56">
        <v>91</v>
      </c>
      <c r="I75" s="57">
        <v>4.7</v>
      </c>
      <c r="J75" s="57" t="s">
        <v>370</v>
      </c>
      <c r="K75" s="33" t="str">
        <f t="shared" si="8"/>
        <v>https://amazon.com/dp/B095HN3VQZ</v>
      </c>
    </row>
    <row r="76" spans="1:11" ht="38.700000000000003" x14ac:dyDescent="0.6">
      <c r="A76" s="29" t="s">
        <v>359</v>
      </c>
      <c r="B76" s="29" t="s">
        <v>360</v>
      </c>
      <c r="C76" s="53">
        <v>231.9012121212121</v>
      </c>
      <c r="D76" s="54">
        <v>91832.88</v>
      </c>
      <c r="E76" s="54">
        <v>7652.74</v>
      </c>
      <c r="F76" s="56">
        <v>396</v>
      </c>
      <c r="G76" s="58">
        <v>33</v>
      </c>
      <c r="H76" s="56">
        <v>4</v>
      </c>
      <c r="I76" s="57">
        <v>4.5</v>
      </c>
      <c r="J76" s="57" t="s">
        <v>361</v>
      </c>
      <c r="K76" s="33" t="str">
        <f t="shared" si="8"/>
        <v>https://amazon.com/dp/B0CLG8SKFV</v>
      </c>
    </row>
    <row r="77" spans="1:11" ht="38.700000000000003" x14ac:dyDescent="0.6">
      <c r="A77" s="29" t="s">
        <v>395</v>
      </c>
      <c r="B77" s="29" t="s">
        <v>396</v>
      </c>
      <c r="C77" s="53">
        <v>84.828799999999987</v>
      </c>
      <c r="D77" s="54">
        <v>25448.639999999999</v>
      </c>
      <c r="E77" s="54">
        <v>2120.7199999999998</v>
      </c>
      <c r="F77" s="56">
        <v>300</v>
      </c>
      <c r="G77" s="58">
        <v>25</v>
      </c>
      <c r="H77" s="56">
        <v>57</v>
      </c>
      <c r="I77" s="57">
        <v>4.8</v>
      </c>
      <c r="J77" s="57" t="s">
        <v>397</v>
      </c>
      <c r="K77" s="33" t="str">
        <f t="shared" si="8"/>
        <v>https://amazon.com/dp/B0DGGM7X88</v>
      </c>
    </row>
    <row r="78" spans="1:11" ht="38.700000000000003" x14ac:dyDescent="0.6">
      <c r="A78" s="29" t="s">
        <v>377</v>
      </c>
      <c r="B78" s="29" t="s">
        <v>378</v>
      </c>
      <c r="C78" s="53">
        <v>172.24086956521739</v>
      </c>
      <c r="D78" s="54">
        <v>47538.48</v>
      </c>
      <c r="E78" s="54">
        <v>3961.54</v>
      </c>
      <c r="F78" s="56">
        <v>276</v>
      </c>
      <c r="G78" s="58">
        <v>23</v>
      </c>
      <c r="H78" s="56">
        <v>326</v>
      </c>
      <c r="I78" s="57">
        <v>4.5999999999999996</v>
      </c>
      <c r="J78" s="57" t="s">
        <v>379</v>
      </c>
      <c r="K78" s="33" t="str">
        <f t="shared" si="8"/>
        <v>https://amazon.com/dp/B0CNPWHCQG</v>
      </c>
    </row>
    <row r="79" spans="1:11" ht="38.700000000000003" x14ac:dyDescent="0.6">
      <c r="A79" s="29" t="s">
        <v>392</v>
      </c>
      <c r="B79" s="29" t="s">
        <v>393</v>
      </c>
      <c r="C79" s="53">
        <v>107.83181818181821</v>
      </c>
      <c r="D79" s="54">
        <v>28467.599999999999</v>
      </c>
      <c r="E79" s="54">
        <v>2372.3000000000002</v>
      </c>
      <c r="F79" s="56">
        <v>264</v>
      </c>
      <c r="G79" s="58">
        <v>22</v>
      </c>
      <c r="H79" s="56">
        <v>123</v>
      </c>
      <c r="I79" s="57">
        <v>4.5999999999999996</v>
      </c>
      <c r="J79" s="57" t="s">
        <v>394</v>
      </c>
      <c r="K79" s="33" t="str">
        <f t="shared" si="8"/>
        <v>https://amazon.com/dp/B09BZF4KT8</v>
      </c>
    </row>
    <row r="80" spans="1:11" ht="38.700000000000003" x14ac:dyDescent="0.6">
      <c r="A80" s="29" t="s">
        <v>407</v>
      </c>
      <c r="B80" s="29" t="s">
        <v>408</v>
      </c>
      <c r="C80" s="53">
        <v>78.391499999999994</v>
      </c>
      <c r="D80" s="54">
        <v>18813.96</v>
      </c>
      <c r="E80" s="54">
        <v>1567.83</v>
      </c>
      <c r="F80" s="56">
        <v>240</v>
      </c>
      <c r="G80" s="58">
        <v>20</v>
      </c>
      <c r="H80" s="56">
        <v>27</v>
      </c>
      <c r="I80" s="57">
        <v>3.9</v>
      </c>
      <c r="J80" s="57" t="s">
        <v>409</v>
      </c>
      <c r="K80" s="33" t="str">
        <f t="shared" si="8"/>
        <v>https://amazon.com/dp/B0DGG5RBC3</v>
      </c>
    </row>
    <row r="81" spans="1:11" ht="38.700000000000003" x14ac:dyDescent="0.6">
      <c r="A81" s="29" t="s">
        <v>419</v>
      </c>
      <c r="B81" s="29" t="s">
        <v>420</v>
      </c>
      <c r="C81" s="53">
        <v>40.476500000000001</v>
      </c>
      <c r="D81" s="54">
        <v>9714.36</v>
      </c>
      <c r="E81" s="54">
        <v>809.53</v>
      </c>
      <c r="F81" s="56">
        <v>240</v>
      </c>
      <c r="G81" s="58">
        <v>20</v>
      </c>
      <c r="H81" s="56">
        <v>244</v>
      </c>
      <c r="I81" s="57">
        <v>4.5</v>
      </c>
      <c r="J81" s="57" t="s">
        <v>421</v>
      </c>
      <c r="K81" s="33" t="str">
        <f t="shared" si="8"/>
        <v>https://amazon.com/dp/B0CL4MJ6NK</v>
      </c>
    </row>
    <row r="82" spans="1:11" ht="38.700000000000003" x14ac:dyDescent="0.6">
      <c r="A82" s="29" t="s">
        <v>389</v>
      </c>
      <c r="B82" s="29" t="s">
        <v>390</v>
      </c>
      <c r="C82" s="53">
        <v>184.4075</v>
      </c>
      <c r="D82" s="54">
        <v>35406.239999999998</v>
      </c>
      <c r="E82" s="54">
        <v>2950.52</v>
      </c>
      <c r="F82" s="56">
        <v>192</v>
      </c>
      <c r="G82" s="58">
        <v>16</v>
      </c>
      <c r="H82" s="56"/>
      <c r="I82" s="57"/>
      <c r="J82" s="57" t="s">
        <v>391</v>
      </c>
      <c r="K82" s="33" t="str">
        <f t="shared" si="8"/>
        <v>https://amazon.com/dp/B0DH1X8ST7</v>
      </c>
    </row>
    <row r="83" spans="1:11" ht="38.700000000000003" x14ac:dyDescent="0.6">
      <c r="A83" s="29" t="s">
        <v>416</v>
      </c>
      <c r="B83" s="29" t="s">
        <v>417</v>
      </c>
      <c r="C83" s="53">
        <v>89.751333333333335</v>
      </c>
      <c r="D83" s="54">
        <v>16155.24</v>
      </c>
      <c r="E83" s="54">
        <v>1346.27</v>
      </c>
      <c r="F83" s="56">
        <v>180</v>
      </c>
      <c r="G83" s="58">
        <v>15</v>
      </c>
      <c r="H83" s="56">
        <v>2233</v>
      </c>
      <c r="I83" s="57">
        <v>4.4000000000000004</v>
      </c>
      <c r="J83" s="57" t="s">
        <v>418</v>
      </c>
      <c r="K83" s="33" t="str">
        <f t="shared" si="8"/>
        <v>https://amazon.com/dp/B0DH1MDYG9</v>
      </c>
    </row>
    <row r="84" spans="1:11" ht="38.700000000000003" x14ac:dyDescent="0.6">
      <c r="A84" s="29" t="s">
        <v>410</v>
      </c>
      <c r="B84" s="29" t="s">
        <v>411</v>
      </c>
      <c r="C84" s="53">
        <v>130.3133333333333</v>
      </c>
      <c r="D84" s="54">
        <v>18765.12</v>
      </c>
      <c r="E84" s="54">
        <v>1563.76</v>
      </c>
      <c r="F84" s="56">
        <v>144</v>
      </c>
      <c r="G84" s="58">
        <v>12</v>
      </c>
      <c r="H84" s="56">
        <v>699</v>
      </c>
      <c r="I84" s="57">
        <v>4.5999999999999996</v>
      </c>
      <c r="J84" s="57" t="s">
        <v>412</v>
      </c>
      <c r="K84" s="33" t="str">
        <f t="shared" si="8"/>
        <v>https://amazon.com/dp/B08PTVBGBQ</v>
      </c>
    </row>
    <row r="85" spans="1:11" ht="38.700000000000003" x14ac:dyDescent="0.6">
      <c r="A85" s="29" t="s">
        <v>398</v>
      </c>
      <c r="B85" s="29" t="s">
        <v>399</v>
      </c>
      <c r="C85" s="53">
        <v>171.405</v>
      </c>
      <c r="D85" s="54">
        <v>24682.32</v>
      </c>
      <c r="E85" s="54">
        <v>2056.86</v>
      </c>
      <c r="F85" s="56">
        <v>144</v>
      </c>
      <c r="G85" s="58">
        <v>12</v>
      </c>
      <c r="H85" s="56">
        <v>326</v>
      </c>
      <c r="I85" s="57">
        <v>4.5999999999999996</v>
      </c>
      <c r="J85" s="57" t="s">
        <v>400</v>
      </c>
      <c r="K85" s="33" t="str">
        <f t="shared" si="8"/>
        <v>https://amazon.com/dp/B07Q86XGN2</v>
      </c>
    </row>
    <row r="86" spans="1:11" ht="38.700000000000003" x14ac:dyDescent="0.6">
      <c r="A86" s="29" t="s">
        <v>422</v>
      </c>
      <c r="B86" s="29" t="s">
        <v>423</v>
      </c>
      <c r="C86" s="53">
        <v>38.925833333333337</v>
      </c>
      <c r="D86" s="54">
        <v>5605.32</v>
      </c>
      <c r="E86" s="54">
        <v>467.11</v>
      </c>
      <c r="F86" s="56">
        <v>144</v>
      </c>
      <c r="G86" s="58">
        <v>12</v>
      </c>
      <c r="H86" s="56">
        <v>818</v>
      </c>
      <c r="I86" s="57">
        <v>4.3</v>
      </c>
      <c r="J86" s="57" t="s">
        <v>424</v>
      </c>
      <c r="K86" s="33" t="str">
        <f t="shared" si="8"/>
        <v>https://amazon.com/dp/B0D2C41HHX</v>
      </c>
    </row>
    <row r="87" spans="1:11" ht="25.8" x14ac:dyDescent="0.6">
      <c r="A87" s="29" t="s">
        <v>431</v>
      </c>
      <c r="B87" s="29" t="s">
        <v>432</v>
      </c>
      <c r="C87" s="53">
        <v>21.265000000000001</v>
      </c>
      <c r="D87" s="54">
        <v>2551.8000000000002</v>
      </c>
      <c r="E87" s="54">
        <v>212.65</v>
      </c>
      <c r="F87" s="56">
        <v>120</v>
      </c>
      <c r="G87" s="58">
        <v>10</v>
      </c>
      <c r="H87" s="56">
        <v>1</v>
      </c>
      <c r="I87" s="57">
        <v>1</v>
      </c>
      <c r="J87" s="57" t="s">
        <v>433</v>
      </c>
      <c r="K87" s="33" t="str">
        <f t="shared" si="8"/>
        <v>https://amazon.com/dp/B0CX4C3QXK</v>
      </c>
    </row>
    <row r="88" spans="1:11" ht="25.8" x14ac:dyDescent="0.6">
      <c r="A88" s="29" t="s">
        <v>425</v>
      </c>
      <c r="B88" s="29" t="s">
        <v>426</v>
      </c>
      <c r="C88" s="53">
        <v>52.726666666666667</v>
      </c>
      <c r="D88" s="54">
        <v>3796.32</v>
      </c>
      <c r="E88" s="54">
        <v>316.36</v>
      </c>
      <c r="F88" s="56">
        <v>72</v>
      </c>
      <c r="G88" s="58">
        <v>6</v>
      </c>
      <c r="H88" s="56"/>
      <c r="I88" s="57"/>
      <c r="J88" s="57" t="s">
        <v>427</v>
      </c>
      <c r="K88" s="33" t="str">
        <f t="shared" si="8"/>
        <v>https://amazon.com/dp/B0DBHXHWVG</v>
      </c>
    </row>
    <row r="89" spans="1:11" ht="25.8" x14ac:dyDescent="0.6">
      <c r="A89" s="29" t="s">
        <v>428</v>
      </c>
      <c r="B89" s="29" t="s">
        <v>429</v>
      </c>
      <c r="C89" s="53">
        <v>78.997500000000002</v>
      </c>
      <c r="D89" s="54">
        <v>3791.88</v>
      </c>
      <c r="E89" s="54">
        <v>315.99</v>
      </c>
      <c r="F89" s="56">
        <v>48</v>
      </c>
      <c r="G89" s="58">
        <v>4</v>
      </c>
      <c r="H89" s="56">
        <v>9</v>
      </c>
      <c r="I89" s="57">
        <v>4.7</v>
      </c>
      <c r="J89" s="57" t="s">
        <v>430</v>
      </c>
      <c r="K89" s="33" t="str">
        <f t="shared" si="8"/>
        <v>https://amazon.com/dp/B09P4WNYBB</v>
      </c>
    </row>
    <row r="90" spans="1:11" x14ac:dyDescent="0.6">
      <c r="A90" s="32" t="s">
        <v>5</v>
      </c>
      <c r="B90" s="32"/>
      <c r="C90" s="70"/>
      <c r="D90" s="70"/>
      <c r="E90" s="70"/>
      <c r="F90" s="71">
        <f>SUM(Table43161821[Estimated 12mo Units])</f>
        <v>90132</v>
      </c>
      <c r="G90" s="71">
        <f>SUM(Table43161821[Monthly Units])</f>
        <v>7511</v>
      </c>
      <c r="H90" s="71"/>
      <c r="I90" s="72"/>
      <c r="J90" s="32"/>
    </row>
  </sheetData>
  <mergeCells count="3">
    <mergeCell ref="A1:K5"/>
    <mergeCell ref="A7:K7"/>
    <mergeCell ref="A50:K50"/>
  </mergeCells>
  <hyperlinks>
    <hyperlink ref="K52" r:id="rId1" display="https://amazon.com/dp/B07S7H86Z1" xr:uid="{0B8ECF52-9DCE-4E06-9004-C4E201B62453}"/>
    <hyperlink ref="K53" r:id="rId2" display="https://amazon.com/dp/B07S7H86Z1" xr:uid="{FD9E4355-1FBF-45C6-8901-1B304B66FA9C}"/>
  </hyperlinks>
  <pageMargins left="0.7" right="0.7" top="0.75" bottom="0.75" header="0.3" footer="0.3"/>
  <tableParts count="2"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1F64C-941E-4784-BAC1-06A83A61F026}">
  <dimension ref="A1:K9"/>
  <sheetViews>
    <sheetView workbookViewId="0">
      <selection activeCell="A6" sqref="A6"/>
    </sheetView>
  </sheetViews>
  <sheetFormatPr defaultColWidth="12.59765625" defaultRowHeight="15.6" x14ac:dyDescent="0.6"/>
  <cols>
    <col min="1" max="1" width="50.59765625" style="30" customWidth="1"/>
    <col min="2" max="2" width="12.59765625" style="30" customWidth="1"/>
    <col min="3" max="3" width="10.84765625" style="52" bestFit="1" customWidth="1"/>
    <col min="4" max="4" width="24.84765625" style="52" bestFit="1" customWidth="1"/>
    <col min="5" max="5" width="17.75" style="60" bestFit="1" customWidth="1"/>
    <col min="6" max="6" width="21.75" style="60" bestFit="1" customWidth="1"/>
    <col min="7" max="7" width="19.09765625" style="60" bestFit="1" customWidth="1"/>
    <col min="8" max="8" width="13.5" style="35" bestFit="1" customWidth="1"/>
    <col min="9" max="9" width="12.59765625" style="30" bestFit="1" customWidth="1"/>
    <col min="10" max="10" width="35.59765625" style="30" hidden="1" customWidth="1"/>
    <col min="11" max="11" width="35.59765625" style="30" customWidth="1"/>
    <col min="12" max="16384" width="12.59765625" style="30"/>
  </cols>
  <sheetData>
    <row r="1" spans="1:11" x14ac:dyDescent="0.6">
      <c r="A1" s="110" t="s">
        <v>434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</row>
    <row r="2" spans="1:11" x14ac:dyDescent="0.6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11" x14ac:dyDescent="0.6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</row>
    <row r="4" spans="1:11" x14ac:dyDescent="0.6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</row>
    <row r="5" spans="1:11" x14ac:dyDescent="0.6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</row>
    <row r="6" spans="1:11" x14ac:dyDescent="0.6">
      <c r="B6" s="49"/>
      <c r="D6" s="49"/>
      <c r="E6" s="50"/>
      <c r="F6" s="50"/>
      <c r="G6" s="50"/>
      <c r="H6" s="51"/>
      <c r="I6" s="49"/>
    </row>
    <row r="7" spans="1:11" x14ac:dyDescent="0.6">
      <c r="A7" s="107" t="s">
        <v>15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</row>
    <row r="8" spans="1:11" x14ac:dyDescent="0.6">
      <c r="A8" s="36" t="s">
        <v>7</v>
      </c>
      <c r="B8" s="37" t="s">
        <v>6</v>
      </c>
      <c r="C8" s="38" t="s">
        <v>12</v>
      </c>
      <c r="D8" s="39" t="s">
        <v>2</v>
      </c>
      <c r="E8" s="37" t="s">
        <v>28</v>
      </c>
      <c r="F8" s="41" t="s">
        <v>14</v>
      </c>
      <c r="G8" s="44" t="s">
        <v>29</v>
      </c>
      <c r="H8" s="41" t="s">
        <v>9</v>
      </c>
      <c r="I8" s="42" t="s">
        <v>13</v>
      </c>
      <c r="J8" s="42" t="s">
        <v>23</v>
      </c>
      <c r="K8" s="43" t="s">
        <v>11</v>
      </c>
    </row>
    <row r="9" spans="1:11" ht="38.700000000000003" x14ac:dyDescent="0.6">
      <c r="A9" s="29" t="s">
        <v>63</v>
      </c>
      <c r="B9" s="29" t="s">
        <v>62</v>
      </c>
      <c r="C9" s="53">
        <v>129.9210582639715</v>
      </c>
      <c r="D9" s="54">
        <v>1311163.32</v>
      </c>
      <c r="E9" s="54">
        <v>109263.61</v>
      </c>
      <c r="F9" s="56">
        <v>10092</v>
      </c>
      <c r="G9" s="56">
        <v>841</v>
      </c>
      <c r="H9" s="56">
        <v>102</v>
      </c>
      <c r="I9" s="57">
        <v>4.7</v>
      </c>
      <c r="J9" s="57" t="s">
        <v>64</v>
      </c>
      <c r="K9" s="68" t="str">
        <f t="shared" ref="K9" si="0">HYPERLINK(J9)</f>
        <v>https://amazon.com/dp/B0DFHL8YN5</v>
      </c>
    </row>
  </sheetData>
  <mergeCells count="2">
    <mergeCell ref="A1:K5"/>
    <mergeCell ref="A7:K7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CEF7D-BAF7-4B60-BB4F-0FD036B37D07}">
  <dimension ref="A1:K18"/>
  <sheetViews>
    <sheetView workbookViewId="0">
      <selection sqref="A1:K5"/>
    </sheetView>
  </sheetViews>
  <sheetFormatPr defaultColWidth="12.59765625" defaultRowHeight="15.6" x14ac:dyDescent="0.6"/>
  <cols>
    <col min="1" max="1" width="50.59765625" style="30" customWidth="1"/>
    <col min="2" max="2" width="12.59765625" style="30" customWidth="1"/>
    <col min="3" max="3" width="10.84765625" style="52" bestFit="1" customWidth="1"/>
    <col min="4" max="4" width="24.84765625" style="52" bestFit="1" customWidth="1"/>
    <col min="5" max="5" width="17.75" style="60" bestFit="1" customWidth="1"/>
    <col min="6" max="6" width="21.75" style="60" bestFit="1" customWidth="1"/>
    <col min="7" max="7" width="19.09765625" style="60" bestFit="1" customWidth="1"/>
    <col min="8" max="8" width="13.5" style="35" bestFit="1" customWidth="1"/>
    <col min="9" max="9" width="12.59765625" style="30" bestFit="1" customWidth="1"/>
    <col min="10" max="10" width="35.59765625" style="30" hidden="1" customWidth="1"/>
    <col min="11" max="11" width="35.59765625" style="30" customWidth="1"/>
    <col min="12" max="16384" width="12.59765625" style="30"/>
  </cols>
  <sheetData>
    <row r="1" spans="1:11" x14ac:dyDescent="0.6">
      <c r="A1" s="109" t="e" vm="9">
        <v>#VALUE!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</row>
    <row r="2" spans="1:11" x14ac:dyDescent="0.6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</row>
    <row r="3" spans="1:11" x14ac:dyDescent="0.6">
      <c r="A3" s="109"/>
      <c r="B3" s="109"/>
      <c r="C3" s="109"/>
      <c r="D3" s="109"/>
      <c r="E3" s="109"/>
      <c r="F3" s="109"/>
      <c r="G3" s="109"/>
      <c r="H3" s="109"/>
      <c r="I3" s="109"/>
      <c r="J3" s="109"/>
      <c r="K3" s="109"/>
    </row>
    <row r="4" spans="1:11" x14ac:dyDescent="0.6">
      <c r="A4" s="109"/>
      <c r="B4" s="109"/>
      <c r="C4" s="109"/>
      <c r="D4" s="109"/>
      <c r="E4" s="109"/>
      <c r="F4" s="109"/>
      <c r="G4" s="109"/>
      <c r="H4" s="109"/>
      <c r="I4" s="109"/>
      <c r="J4" s="109"/>
      <c r="K4" s="109"/>
    </row>
    <row r="5" spans="1:11" x14ac:dyDescent="0.6">
      <c r="A5" s="109"/>
      <c r="B5" s="109"/>
      <c r="C5" s="109"/>
      <c r="D5" s="109"/>
      <c r="E5" s="109"/>
      <c r="F5" s="109"/>
      <c r="G5" s="109"/>
      <c r="H5" s="109"/>
      <c r="I5" s="109"/>
      <c r="J5" s="109"/>
      <c r="K5" s="109"/>
    </row>
    <row r="6" spans="1:11" x14ac:dyDescent="0.6">
      <c r="B6" s="49"/>
      <c r="D6" s="49"/>
      <c r="E6" s="50"/>
      <c r="F6" s="50"/>
      <c r="G6" s="50"/>
      <c r="H6" s="51"/>
      <c r="I6" s="49"/>
    </row>
    <row r="7" spans="1:11" x14ac:dyDescent="0.6">
      <c r="A7" s="107" t="s">
        <v>19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</row>
    <row r="8" spans="1:11" x14ac:dyDescent="0.6">
      <c r="A8" s="36" t="s">
        <v>7</v>
      </c>
      <c r="B8" s="37" t="s">
        <v>6</v>
      </c>
      <c r="C8" s="38" t="s">
        <v>12</v>
      </c>
      <c r="D8" s="39" t="s">
        <v>2</v>
      </c>
      <c r="E8" s="37" t="s">
        <v>28</v>
      </c>
      <c r="F8" s="41" t="s">
        <v>14</v>
      </c>
      <c r="G8" s="44" t="s">
        <v>29</v>
      </c>
      <c r="H8" s="41" t="s">
        <v>9</v>
      </c>
      <c r="I8" s="42" t="s">
        <v>13</v>
      </c>
      <c r="J8" s="42" t="s">
        <v>23</v>
      </c>
      <c r="K8" s="43" t="s">
        <v>11</v>
      </c>
    </row>
    <row r="9" spans="1:11" ht="38.700000000000003" x14ac:dyDescent="0.6">
      <c r="A9" s="29" t="s">
        <v>69</v>
      </c>
      <c r="B9" s="29" t="s">
        <v>68</v>
      </c>
      <c r="C9" s="53">
        <v>37.597973408541499</v>
      </c>
      <c r="D9" s="54">
        <v>1119818.04</v>
      </c>
      <c r="E9" s="55">
        <v>93318.17</v>
      </c>
      <c r="F9" s="56">
        <v>29784</v>
      </c>
      <c r="G9" s="56">
        <v>2482</v>
      </c>
      <c r="H9" s="56">
        <v>531</v>
      </c>
      <c r="I9" s="57">
        <v>4.5999999999999996</v>
      </c>
      <c r="J9" s="57" t="s">
        <v>70</v>
      </c>
      <c r="K9" s="68" t="str">
        <f>HYPERLINK(J9)</f>
        <v>https://amazon.com/dp/B0CP538LN1</v>
      </c>
    </row>
    <row r="10" spans="1:11" ht="38.700000000000003" x14ac:dyDescent="0.6">
      <c r="A10" s="29" t="s">
        <v>133</v>
      </c>
      <c r="B10" s="29" t="s">
        <v>132</v>
      </c>
      <c r="C10" s="53">
        <v>37.137386759581879</v>
      </c>
      <c r="D10" s="54">
        <v>383703.48</v>
      </c>
      <c r="E10" s="55">
        <v>31975.29</v>
      </c>
      <c r="F10" s="56">
        <v>10332</v>
      </c>
      <c r="G10" s="56">
        <v>861</v>
      </c>
      <c r="H10" s="56">
        <v>203</v>
      </c>
      <c r="I10" s="57">
        <v>4.5999999999999996</v>
      </c>
      <c r="J10" s="57" t="s">
        <v>134</v>
      </c>
      <c r="K10" s="68" t="str">
        <f t="shared" ref="K10" si="0">HYPERLINK(J10)</f>
        <v>https://amazon.com/dp/B0CW65T636</v>
      </c>
    </row>
    <row r="11" spans="1:11" x14ac:dyDescent="0.6">
      <c r="A11" s="32" t="s">
        <v>5</v>
      </c>
      <c r="B11" s="32"/>
      <c r="C11" s="69"/>
      <c r="D11" s="70">
        <f>SUM(D9:D10)</f>
        <v>1503521.52</v>
      </c>
      <c r="E11" s="70">
        <f>SUM(E9:E10)</f>
        <v>125293.45999999999</v>
      </c>
      <c r="F11" s="71"/>
      <c r="G11" s="71"/>
      <c r="H11" s="71"/>
      <c r="I11" s="72"/>
      <c r="J11" s="32"/>
      <c r="K11" s="31"/>
    </row>
    <row r="14" spans="1:11" x14ac:dyDescent="0.6">
      <c r="A14" s="107" t="s">
        <v>18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</row>
    <row r="15" spans="1:11" x14ac:dyDescent="0.6">
      <c r="A15" s="36" t="s">
        <v>7</v>
      </c>
      <c r="B15" s="37" t="s">
        <v>6</v>
      </c>
      <c r="C15" s="38" t="s">
        <v>12</v>
      </c>
      <c r="D15" s="39" t="s">
        <v>2</v>
      </c>
      <c r="E15" s="37" t="s">
        <v>28</v>
      </c>
      <c r="F15" s="41" t="s">
        <v>14</v>
      </c>
      <c r="G15" s="44" t="s">
        <v>29</v>
      </c>
      <c r="H15" s="41" t="s">
        <v>9</v>
      </c>
      <c r="I15" s="42" t="s">
        <v>13</v>
      </c>
      <c r="J15" s="42" t="s">
        <v>23</v>
      </c>
      <c r="K15" s="43" t="s">
        <v>11</v>
      </c>
    </row>
    <row r="16" spans="1:11" ht="38.700000000000003" x14ac:dyDescent="0.6">
      <c r="A16" s="29" t="s">
        <v>69</v>
      </c>
      <c r="B16" s="29" t="s">
        <v>68</v>
      </c>
      <c r="C16" s="53">
        <v>37.597973408541499</v>
      </c>
      <c r="D16" s="54">
        <v>1119818.04</v>
      </c>
      <c r="E16" s="54">
        <v>93318.17</v>
      </c>
      <c r="F16" s="56">
        <v>29784</v>
      </c>
      <c r="G16" s="58">
        <v>2482</v>
      </c>
      <c r="H16" s="56">
        <v>531</v>
      </c>
      <c r="I16" s="57">
        <v>4.5999999999999996</v>
      </c>
      <c r="J16" s="57" t="s">
        <v>70</v>
      </c>
      <c r="K16" s="68" t="str">
        <f>HYPERLINK(J16)</f>
        <v>https://amazon.com/dp/B0CP538LN1</v>
      </c>
    </row>
    <row r="17" spans="1:11" s="31" customFormat="1" ht="38.700000000000003" x14ac:dyDescent="0.6">
      <c r="A17" s="29" t="s">
        <v>133</v>
      </c>
      <c r="B17" s="29" t="s">
        <v>132</v>
      </c>
      <c r="C17" s="53">
        <v>37.137386759581879</v>
      </c>
      <c r="D17" s="54">
        <v>383703.48</v>
      </c>
      <c r="E17" s="54">
        <v>31975.29</v>
      </c>
      <c r="F17" s="56">
        <v>10332</v>
      </c>
      <c r="G17" s="58">
        <v>861</v>
      </c>
      <c r="H17" s="56">
        <v>203</v>
      </c>
      <c r="I17" s="57">
        <v>4.5999999999999996</v>
      </c>
      <c r="J17" s="57" t="s">
        <v>134</v>
      </c>
      <c r="K17" s="68" t="str">
        <f>HYPERLINK(J17)</f>
        <v>https://amazon.com/dp/B0CW65T636</v>
      </c>
    </row>
    <row r="18" spans="1:11" x14ac:dyDescent="0.6">
      <c r="A18" s="32" t="s">
        <v>5</v>
      </c>
      <c r="B18" s="32"/>
      <c r="C18" s="70"/>
      <c r="D18" s="70"/>
      <c r="E18" s="70"/>
      <c r="F18" s="71">
        <f>SUM(WINWEND!F16:F17)</f>
        <v>40116</v>
      </c>
      <c r="G18" s="71">
        <f>SUM(WINWEND!G16:G17)</f>
        <v>3343</v>
      </c>
      <c r="H18" s="71"/>
      <c r="I18" s="72"/>
      <c r="J18" s="32"/>
      <c r="K18" s="31"/>
    </row>
  </sheetData>
  <mergeCells count="3">
    <mergeCell ref="A1:K5"/>
    <mergeCell ref="A7:K7"/>
    <mergeCell ref="A14:K14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Top 50</vt:lpstr>
      <vt:lpstr>Top 50 Summary</vt:lpstr>
      <vt:lpstr>DAXIONGMAO</vt:lpstr>
      <vt:lpstr>DEPSTECH</vt:lpstr>
      <vt:lpstr>DZXtoz</vt:lpstr>
      <vt:lpstr>Hijoy</vt:lpstr>
      <vt:lpstr>KAIWEETS</vt:lpstr>
      <vt:lpstr>KINPTHY</vt:lpstr>
      <vt:lpstr>MugEasy</vt:lpstr>
      <vt:lpstr>Teslong</vt:lpstr>
      <vt:lpstr>UJOYOK</vt:lpstr>
      <vt:lpstr>WINWEND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Katrina Bruce</dc:creator>
  <cp:lastModifiedBy>Solo Cheng</cp:lastModifiedBy>
  <dcterms:created xsi:type="dcterms:W3CDTF">2023-02-23T16:09:11Z</dcterms:created>
  <dcterms:modified xsi:type="dcterms:W3CDTF">2025-11-18T21:08:19Z</dcterms:modified>
</cp:coreProperties>
</file>